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561.xml" ContentType="application/vnd.openxmlformats-officedocument.drawing+xml"/>
  <Override ContentType="application/vnd.openxmlformats-officedocument.spreadsheetml.table+xml" PartName="/xl/tables/table5561.xml"/>
  <Override PartName="/xl/drawings/drawing5571.xml" ContentType="application/vnd.openxmlformats-officedocument.drawing+xml"/>
  <Override ContentType="application/vnd.openxmlformats-officedocument.spreadsheetml.table+xml" PartName="/xl/tables/table5571.xml"/>
  <Override PartName="/xl/drawings/drawing5581.xml" ContentType="application/vnd.openxmlformats-officedocument.drawing+xml"/>
  <Override ContentType="application/vnd.openxmlformats-officedocument.spreadsheetml.table+xml" PartName="/xl/tables/table5581.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modekz\AppData\Local\SAP\SAP GUI\tmp\"/>
    </mc:Choice>
  </mc:AlternateContent>
  <xr:revisionPtr revIDLastSave="0" documentId="13_ncr:1_{D492FF1F-33F7-4A40-86ED-3E473657533E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r:id="rId1" sheetId="1" name="First sheet"/>
    <sheet r:id="rId2" sheetId="2" name="{R-TITLE}" state="veryHidden"/>
    <sheet r:id="rId556" sheetId="556" name="Title 1"/>
    <sheet r:id="rId557" sheetId="557" name="Title 2"/>
    <sheet r:id="rId558" sheetId="558" name="Title 3"/>
    <sheet r:id="rId3" sheetId="3" name="Last sheet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<sst xmlns="http://schemas.openxmlformats.org/spreadsheetml/2006/main" count="51" uniqueCount="51">
  <si>
    <t>&lt;Caption 1 /&gt; GRP A</t>
  </si>
  <si>
    <t>&lt;Caption 1 /&gt; GRP C</t>
  </si>
  <si>
    <t>&lt;Caption 10 /&gt; GRP C</t>
  </si>
  <si>
    <t>&lt;Caption 10 /&gt; GRP D</t>
  </si>
  <si>
    <t>&lt;Caption 11 /&gt; GRP B</t>
  </si>
  <si>
    <t>&lt;Caption 11 /&gt; GRP C</t>
  </si>
  <si>
    <t>&lt;Caption 11 /&gt; GRP D</t>
  </si>
  <si>
    <t>&lt;Caption 12 /&gt; GRP B</t>
  </si>
  <si>
    <t>&lt;Caption 12 /&gt; GRP D</t>
  </si>
  <si>
    <t>&lt;Caption 13 /&gt; GRP B</t>
  </si>
  <si>
    <t>&lt;Caption 13 /&gt; GRP D</t>
  </si>
  <si>
    <t>&lt;Caption 14 /&gt; GRP A</t>
  </si>
  <si>
    <t>&lt;Caption 14 /&gt; GRP B</t>
  </si>
  <si>
    <t>&lt;Caption 14 /&gt; GRP D</t>
  </si>
  <si>
    <t>&lt;Caption 15 /&gt; GRP B</t>
  </si>
  <si>
    <t>&lt;Caption 15 /&gt; GRP D</t>
  </si>
  <si>
    <t>&lt;Caption 2 /&gt; GRP C</t>
  </si>
  <si>
    <t>&lt;Caption 2 /&gt; GRP D</t>
  </si>
  <si>
    <t>&lt;Caption 3 /&gt; GRP A</t>
  </si>
  <si>
    <t>&lt;Caption 3 /&gt; GRP B</t>
  </si>
  <si>
    <t>&lt;Caption 3 /&gt; GRP C</t>
  </si>
  <si>
    <t>&lt;Caption 4 /&gt; GRP B</t>
  </si>
  <si>
    <t>&lt;Caption 4 /&gt; GRP D</t>
  </si>
  <si>
    <t>&lt;Caption 5 /&gt; GRP B</t>
  </si>
  <si>
    <t>&lt;Caption 5 /&gt; GRP C</t>
  </si>
  <si>
    <t>&lt;Caption 5 /&gt; GRP D</t>
  </si>
  <si>
    <t>&lt;Caption 6 /&gt; GRP D</t>
  </si>
  <si>
    <t>&lt;Caption 7 /&gt; GRP C</t>
  </si>
  <si>
    <t>&lt;Caption 7 /&gt; GRP D</t>
  </si>
  <si>
    <t>&lt;Caption 8 /&gt; GRP A</t>
  </si>
  <si>
    <t>&lt;Caption 8 /&gt; GRP C</t>
  </si>
  <si>
    <t>&lt;Caption 8 /&gt; GRP D</t>
  </si>
  <si>
    <t>&lt;Caption 9 /&gt; GRP B</t>
  </si>
  <si>
    <t>&lt;Caption 9 /&gt; GRP D</t>
  </si>
  <si>
    <r>
      <t xml:space="preserve">Title: </t>
    </r>
    <r>
      <rPr>
        <b/>
        <i/>
        <u/>
        <sz val="11"/>
        <color indexed="50"/>
        <rFont val="Calibri"/>
        <family val="2"/>
        <charset val="204"/>
      </rPr>
      <t>Last title</t>
    </r>
  </si>
  <si>
    <r>
      <t xml:space="preserve">Title: </t>
    </r>
    <r>
      <rPr>
        <b/>
        <sz val="11"/>
        <color indexed="40"/>
        <rFont val="Calibri"/>
        <family val="2"/>
        <charset val="204"/>
      </rPr>
      <t>First title</t>
    </r>
  </si>
  <si>
    <t>Caption - Group</t>
  </si>
  <si>
    <t>SUM1</t>
  </si>
  <si>
    <t>SUM2</t>
  </si>
  <si>
    <t>Sum in ABAP</t>
  </si>
  <si>
    <t>Sum in Excel</t>
  </si>
  <si>
    <t>Title: Title 1</t>
  </si>
  <si>
    <t>Title: Title 2</t>
  </si>
  <si>
    <t>Title: Title 3</t>
  </si>
  <si>
    <t>Title: {R-TITLE}</t>
  </si>
  <si>
    <t>Total</t>
  </si>
  <si>
    <t>{R-T-CAPTION} {R-T-GROUP}</t>
  </si>
  <si>
    <t>{R-T-SUM1}</t>
  </si>
  <si>
    <t>{R-T-SUM2}</t>
  </si>
  <si>
    <t>{R-T;cond=sy-tabix;type=integer}</t>
  </si>
  <si>
    <t>{R-T;cond=value-SUM1 * value-SUM2 + value-SUM1 - value-SUM2 ;type=double}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</si>
</sst>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40"/>
      <name val="Calibri"/>
      <family val="2"/>
      <charset val="204"/>
    </font>
    <font>
      <b/>
      <i/>
      <u/>
      <sz val="11"/>
      <color indexed="50"/>
      <name val="Calibri"/>
      <family val="2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4" fontId="0" fillId="0" borderId="0" xfId="0" applyNumberFormat="1"/>
    <xf numFmtId="4" fontId="0" fillId="0" borderId="10" xfId="0" applyNumberFormat="1" applyFont="1" applyBorder="1" applyAlignment="1">
      <alignment horizontal="right" vertical="center" wrapText="1"/>
    </xf>
    <xf numFmtId="0" fontId="0" fillId="0" borderId="10" xfId="0" applyFont="1" applyBorder="1" applyAlignment="1">
      <alignment vertical="center" wrapText="1"/>
    </xf>
    <xf numFmtId="4" fontId="0" fillId="0" borderId="0" xfId="0" applyNumberFormat="1" applyFont="1" applyBorder="1" applyAlignment="1">
      <alignment horizontal="right" vertical="center" wrapText="1"/>
    </xf>
    <xf numFmtId="0" fontId="0" fillId="33" borderId="11" xfId="0" applyFont="1" applyFill="1" applyBorder="1" applyAlignment="1">
      <alignment horizontal="center" vertical="center" wrapText="1"/>
    </xf>
    <xf numFmtId="0" fontId="0" fillId="33" borderId="12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vertical="center" wrapText="1"/>
    </xf>
    <xf numFmtId="4" fontId="20" fillId="0" borderId="10" xfId="0" applyNumberFormat="1" applyFont="1" applyBorder="1" applyAlignment="1">
      <alignment horizontal="right" vertical="center" wrapText="1"/>
    </xf>
    <xf numFmtId="4" fontId="20" fillId="0" borderId="0" xfId="0" applyNumberFormat="1" applyFont="1" applyAlignment="1">
      <alignment horizontal="right" vertical="center" wrapText="1"/>
    </xf>
    <xf numFmtId="0" fontId="0" fillId="0" borderId="0" xfId="0" applyAlignment="1">
      <alignment horizontal="center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Normal 2" xfId="42" xr:uid="{00000000-0005-0000-0000-000025000000}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 customBuiltin="1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border outline="0">
        <left style="medium">
          <color auto="1"/>
        </left>
        <right style="medium">
          <color auto="1"/>
        </right>
        <top style="medium">
          <color indexed="64"/>
        </top>
        <bottom style="medium">
          <color auto="1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rId7" Type="http://schemas.openxmlformats.org/officeDocument/2006/relationships/calcChain" Target="calcChain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556.xml" Type="http://schemas.openxmlformats.org/officeDocument/2006/relationships/worksheet" Id="rId556"/><Relationship Target="worksheets/sheet557.xml" Type="http://schemas.openxmlformats.org/officeDocument/2006/relationships/worksheet" Id="rId557"/><Relationship Target="worksheets/sheet558.xml" Type="http://schemas.openxmlformats.org/officeDocument/2006/relationships/worksheet" Id="rId558"/><Relationship Target="worksheets/sheet3.xml" Type="http://schemas.openxmlformats.org/officeDocument/2006/relationships/worksheet" Id="rId3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drawings/drawing556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drawings/drawing557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drawings/drawing558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3:D5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61" xr:uid="{00000000-000C-0000-FFFF-FFFF00000000}" name="Table1_556" displayName="Table1_556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71" xr:uid="{00000000-000C-0000-FFFF-FFFF00000000}" name="Table1_557" displayName="Table1_557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81" xr:uid="{00000000-000C-0000-FFFF-FFFF00000000}" name="Table1_558" displayName="Table1_558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5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61.xml"/><Relationship Id="rId1" Type="http://schemas.openxmlformats.org/officeDocument/2006/relationships/drawing" Target="../drawings/drawing5561.xml"/></Relationships>
</file>

<file path=xl/worksheets/_rels/sheet5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71.xml"/><Relationship Id="rId1" Type="http://schemas.openxmlformats.org/officeDocument/2006/relationships/drawing" Target="../drawings/drawing5571.xml"/></Relationships>
</file>

<file path=xl/worksheets/_rels/sheet5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81.xml"/><Relationship Id="rId1" Type="http://schemas.openxmlformats.org/officeDocument/2006/relationships/drawing" Target="../drawings/drawing558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D1" sqref="D1"/>
    </sheetView>
  </sheetViews>
  <sheetFormatPr defaultRowHeight="15" customHeight="1" x14ac:dyDescent="0.25"/>
  <cols>
    <col customWidth="1" max="1" min="1" width="31.28515625"/>
  </cols>
  <sheetData>
    <row r="1" customHeight="1" ht="15">
      <c r="A1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44</v>
      </c>
      <c r="F1" s="11" t="s">
        <v>39</v>
      </c>
      <c r="G1" s="11"/>
      <c r="H1" s="11" t="s">
        <v>40</v>
      </c>
      <c r="I1" s="11"/>
    </row>
    <row r="3" customHeight="1" ht="15.75">
      <c r="B3" s="6" t="s">
        <v>36</v>
      </c>
      <c r="C3" s="6" t="s">
        <v>37</v>
      </c>
      <c r="D3" s="7" t="s">
        <v>38</v>
      </c>
    </row>
    <row r="4" customHeight="1" ht="15.75">
      <c r="A4" t="s">
        <v>49</v>
      </c>
      <c r="B4" s="4" t="s">
        <v>46</v>
      </c>
      <c r="C4" s="3" t="s">
        <v>47</v>
      </c>
      <c r="D4" s="5" t="s">
        <v>48</v>
      </c>
      <c r="F4" s="11" t="s">
        <v>50</v>
      </c>
      <c r="G4" s="11"/>
      <c r="H4" s="11" t="e">
        <f>Table1[[#This Row],[SUM1]]*Table1[[#This Row],[SUM2]]+C$4-D$4</f>
      </c>
      <c r="I4" s="11"/>
    </row>
    <row r="5" customHeight="1" ht="15">
      <c r="B5" s="8" t="s">
        <v>45</v>
      </c>
      <c r="C5" s="9">
        <f>SUBTOTAL(109,Table1[SUM1])</f>
      </c>
      <c r="D5" s="10">
        <f>SUBTOTAL(109,Table1[SUM2])</f>
      </c>
    </row>
    <row r="6" customHeight="1" ht="15">
      <c r="B6" s="1"/>
      <c r="C6" s="2"/>
      <c r="D6" s="2"/>
    </row>
  </sheetData>
  <mergeCells count="4">
    <mergeCell ref="F1:G1"/>
    <mergeCell ref="H1:I1"/>
    <mergeCell ref="F4:G4"/>
    <mergeCell ref="H4:I4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customWidth="1" max="1" min="1" width="34.28515625"/>
  </cols>
  <sheetData>
    <row r="1" customHeight="1" ht="15">
      <c r="A1" t="s">
        <v>34</v>
      </c>
    </row>
  </sheetData>
  <pageMargins left="0.7" right="0.7" top="0.75" bottom="0.75" header="0.3" footer="0.3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41</v>
      </c>
      <c r="F1" s="11" t="s">
        <v>39</v>
      </c>
      <c r="G1" s="11"/>
      <c r="H1" s="11" t="s">
        <v>40</v>
      </c>
      <c r="I1" s="11"/>
    </row>
    <row r="3" customHeight="1" ht="15.75">
      <c r="B3" s="6" t="s">
        <v>36</v>
      </c>
      <c r="C3" s="6" t="s">
        <v>37</v>
      </c>
      <c r="D3" s="7" t="s">
        <v>38</v>
      </c>
    </row>
    <row r="4" customHeight="1" ht="15.75">
      <c r="A4">
        <v>1</v>
      </c>
      <c r="B4" s="4" t="s">
        <v>1</v>
      </c>
      <c r="C4" s="3">
        <v>6944.37</v>
      </c>
      <c r="D4" s="5">
        <v>7004.29</v>
      </c>
      <c r="F4" s="11">
        <v>48640321.42730</v>
      </c>
      <c r="G4" s="11"/>
      <c r="H4" s="11" t="e">
        <f>Table1_556[[#This Row],[SUM1]]*Table1_556[[#This Row],[SUM2]]+C$4-D$4</f>
      </c>
      <c r="I4" s="11"/>
    </row>
    <row r="5" customHeight="1" ht="15.75">
      <c r="A5">
        <v>2</v>
      </c>
      <c r="B5" s="4" t="s">
        <v>2</v>
      </c>
      <c r="C5" s="3">
        <v>8940.97</v>
      </c>
      <c r="D5" s="5">
        <v>2784.70</v>
      </c>
      <c r="F5" s="11">
        <v>24904075.42900</v>
      </c>
      <c r="G5" s="11"/>
      <c r="H5" s="11" t="e">
        <f>Table1_556[[#This Row],[SUM1]]*Table1_556[[#This Row],[SUM2]]+C$5-D$5</f>
      </c>
      <c r="I5" s="11"/>
    </row>
    <row r="6" customHeight="1" ht="15.75">
      <c r="A6">
        <v>3</v>
      </c>
      <c r="B6" s="4" t="s">
        <v>5</v>
      </c>
      <c r="C6" s="3">
        <v>4001.42</v>
      </c>
      <c r="D6" s="5">
        <v>3381.97</v>
      </c>
      <c r="F6" s="11">
        <v>13533301.84740</v>
      </c>
      <c r="G6" s="11"/>
      <c r="H6" s="11" t="e">
        <f>Table1_556[[#This Row],[SUM1]]*Table1_556[[#This Row],[SUM2]]+C$6-D$6</f>
      </c>
      <c r="I6" s="11"/>
    </row>
    <row r="7" customHeight="1" ht="15.75">
      <c r="A7">
        <v>4</v>
      </c>
      <c r="B7" s="4" t="s">
        <v>7</v>
      </c>
      <c r="C7" s="3">
        <v>5777.64</v>
      </c>
      <c r="D7" s="5">
        <v>3669.37</v>
      </c>
      <c r="F7" s="11">
        <v>21202407.15680</v>
      </c>
      <c r="G7" s="11"/>
      <c r="H7" s="11" t="e">
        <f>Table1_556[[#This Row],[SUM1]]*Table1_556[[#This Row],[SUM2]]+C$7-D$7</f>
      </c>
      <c r="I7" s="11"/>
    </row>
    <row r="8" customHeight="1" ht="15.75">
      <c r="A8">
        <v>5</v>
      </c>
      <c r="B8" s="4" t="s">
        <v>9</v>
      </c>
      <c r="C8" s="3">
        <v>1443.81</v>
      </c>
      <c r="D8" s="5">
        <v>9836.61</v>
      </c>
      <c r="F8" s="11">
        <v>14193803.08410</v>
      </c>
      <c r="G8" s="11"/>
      <c r="H8" s="11" t="e">
        <f>Table1_556[[#This Row],[SUM1]]*Table1_556[[#This Row],[SUM2]]+C$8-D$8</f>
      </c>
      <c r="I8" s="11"/>
    </row>
    <row r="9" customHeight="1" ht="15.75">
      <c r="A9">
        <v>6</v>
      </c>
      <c r="B9" s="4" t="s">
        <v>12</v>
      </c>
      <c r="C9" s="3">
        <v>5807.86</v>
      </c>
      <c r="D9" s="5">
        <v>1677.70</v>
      </c>
      <c r="F9" s="11">
        <v>9747976.88200</v>
      </c>
      <c r="G9" s="11"/>
      <c r="H9" s="11" t="e">
        <f>Table1_556[[#This Row],[SUM1]]*Table1_556[[#This Row],[SUM2]]+C$9-D$9</f>
      </c>
      <c r="I9" s="11"/>
    </row>
    <row r="10" customHeight="1" ht="15.75">
      <c r="A10">
        <v>7</v>
      </c>
      <c r="B10" s="4" t="s">
        <v>15</v>
      </c>
      <c r="C10" s="3">
        <v>472.85</v>
      </c>
      <c r="D10" s="5">
        <v>3216.21</v>
      </c>
      <c r="F10" s="11">
        <v>1518041.53850</v>
      </c>
      <c r="G10" s="11"/>
      <c r="H10" s="11" t="e">
        <f>Table1_556[[#This Row],[SUM1]]*Table1_556[[#This Row],[SUM2]]+C$10-D$10</f>
      </c>
      <c r="I10" s="11"/>
    </row>
    <row r="11" customHeight="1" ht="15.75">
      <c r="A11">
        <v>8</v>
      </c>
      <c r="B11" s="4" t="s">
        <v>16</v>
      </c>
      <c r="C11" s="3">
        <v>2285.48</v>
      </c>
      <c r="D11" s="5">
        <v>8861.78</v>
      </c>
      <c r="F11" s="11">
        <v>20246844.65440</v>
      </c>
      <c r="G11" s="11"/>
      <c r="H11" s="11" t="e">
        <f>Table1_556[[#This Row],[SUM1]]*Table1_556[[#This Row],[SUM2]]+C$11-D$11</f>
      </c>
      <c r="I11" s="11"/>
    </row>
    <row r="12" customHeight="1" ht="15.75">
      <c r="A12">
        <v>9</v>
      </c>
      <c r="B12" s="4" t="s">
        <v>20</v>
      </c>
      <c r="C12" s="3">
        <v>413.29</v>
      </c>
      <c r="D12" s="5">
        <v>366.88</v>
      </c>
      <c r="F12" s="11">
        <v>151674.24520</v>
      </c>
      <c r="G12" s="11"/>
      <c r="H12" s="11" t="e">
        <f>Table1_556[[#This Row],[SUM1]]*Table1_556[[#This Row],[SUM2]]+C$12-D$12</f>
      </c>
      <c r="I12" s="11"/>
    </row>
    <row r="13" customHeight="1" ht="15.75">
      <c r="A13">
        <v>10</v>
      </c>
      <c r="B13" s="4" t="s">
        <v>22</v>
      </c>
      <c r="C13" s="3">
        <v>6780.05</v>
      </c>
      <c r="D13" s="5">
        <v>3008.77</v>
      </c>
      <c r="F13" s="11">
        <v>20403382.31850</v>
      </c>
      <c r="G13" s="11"/>
      <c r="H13" s="11" t="e">
        <f>Table1_556[[#This Row],[SUM1]]*Table1_556[[#This Row],[SUM2]]+C$13-D$13</f>
      </c>
      <c r="I13" s="11"/>
    </row>
    <row r="14" customHeight="1" ht="15.75">
      <c r="A14">
        <v>11</v>
      </c>
      <c r="B14" s="4" t="s">
        <v>24</v>
      </c>
      <c r="C14" s="3">
        <v>9210.05</v>
      </c>
      <c r="D14" s="5">
        <v>7462.60</v>
      </c>
      <c r="F14" s="11">
        <v>68732666.58000</v>
      </c>
      <c r="G14" s="11"/>
      <c r="H14" s="11" t="e">
        <f>Table1_556[[#This Row],[SUM1]]*Table1_556[[#This Row],[SUM2]]+C$14-D$14</f>
      </c>
      <c r="I14" s="11"/>
    </row>
    <row r="15" customHeight="1" ht="15.75">
      <c r="A15">
        <v>12</v>
      </c>
      <c r="B15" s="4" t="s">
        <v>26</v>
      </c>
      <c r="C15" s="3">
        <v>738.13</v>
      </c>
      <c r="D15" s="5">
        <v>7626.24</v>
      </c>
      <c r="F15" s="11">
        <v>5622268.42120</v>
      </c>
      <c r="G15" s="11"/>
      <c r="H15" s="11" t="e">
        <f>Table1_556[[#This Row],[SUM1]]*Table1_556[[#This Row],[SUM2]]+C$15-D$15</f>
      </c>
      <c r="I15" s="11"/>
    </row>
    <row r="16" customHeight="1" ht="15.75">
      <c r="A16">
        <v>13</v>
      </c>
      <c r="B16" s="4" t="s">
        <v>27</v>
      </c>
      <c r="C16" s="3">
        <v>7122.91</v>
      </c>
      <c r="D16" s="5">
        <v>473.46</v>
      </c>
      <c r="F16" s="11">
        <v>3379062.41860</v>
      </c>
      <c r="G16" s="11"/>
      <c r="H16" s="11" t="e">
        <f>Table1_556[[#This Row],[SUM1]]*Table1_556[[#This Row],[SUM2]]+C$16-D$16</f>
      </c>
      <c r="I16" s="11"/>
    </row>
    <row r="17" customHeight="1" ht="15.75">
      <c r="A17">
        <v>14</v>
      </c>
      <c r="B17" s="4" t="s">
        <v>31</v>
      </c>
      <c r="C17" s="3">
        <v>4690.39</v>
      </c>
      <c r="D17" s="5">
        <v>845.09</v>
      </c>
      <c r="F17" s="11">
        <v>3967646.98510</v>
      </c>
      <c r="G17" s="11"/>
      <c r="H17" s="11" t="e">
        <f>Table1_556[[#This Row],[SUM1]]*Table1_556[[#This Row],[SUM2]]+C$17-D$17</f>
      </c>
      <c r="I17" s="11"/>
    </row>
    <row r="18" customHeight="1" ht="15.75">
      <c r="A18">
        <v>15</v>
      </c>
      <c r="B18" s="4" t="s">
        <v>32</v>
      </c>
      <c r="C18" s="3">
        <v>9622.89</v>
      </c>
      <c r="D18" s="5">
        <v>2284.72</v>
      </c>
      <c r="F18" s="11">
        <v>21992947.41080</v>
      </c>
      <c r="G18" s="11"/>
      <c r="H18" s="11" t="e">
        <f>Table1_556[[#This Row],[SUM1]]*Table1_556[[#This Row],[SUM2]]+C$18-D$18</f>
      </c>
      <c r="I18" s="11"/>
    </row>
    <row r="19" customHeight="1" ht="15">
      <c r="B19" s="8" t="s">
        <v>45</v>
      </c>
      <c r="C19" s="9">
        <f>SUBTOTAL(109,Table1_556[SUM1])</f>
      </c>
      <c r="D19" s="10">
        <f>SUBTOTAL(109,Table1_556[SUM2])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42</v>
      </c>
      <c r="F1" s="11" t="s">
        <v>39</v>
      </c>
      <c r="G1" s="11"/>
      <c r="H1" s="11" t="s">
        <v>40</v>
      </c>
      <c r="I1" s="11"/>
    </row>
    <row r="3" customHeight="1" ht="15.75">
      <c r="B3" s="6" t="s">
        <v>36</v>
      </c>
      <c r="C3" s="6" t="s">
        <v>37</v>
      </c>
      <c r="D3" s="7" t="s">
        <v>38</v>
      </c>
    </row>
    <row r="4" customHeight="1" ht="15.75">
      <c r="A4">
        <v>1</v>
      </c>
      <c r="B4" s="4" t="s">
        <v>0</v>
      </c>
      <c r="C4" s="3">
        <v>3633.78</v>
      </c>
      <c r="D4" s="5">
        <v>9057.84</v>
      </c>
      <c r="F4" s="11">
        <v>32908773.77520</v>
      </c>
      <c r="G4" s="11"/>
      <c r="H4" s="11" t="e">
        <f>Table1_557[[#This Row],[SUM1]]*Table1_557[[#This Row],[SUM2]]+C$4-D$4</f>
      </c>
      <c r="I4" s="11"/>
    </row>
    <row r="5" customHeight="1" ht="15.75">
      <c r="A5">
        <v>2</v>
      </c>
      <c r="B5" s="4" t="s">
        <v>11</v>
      </c>
      <c r="C5" s="3">
        <v>2042.15</v>
      </c>
      <c r="D5" s="5">
        <v>1666.11</v>
      </c>
      <c r="F5" s="11">
        <v>3402822.57650</v>
      </c>
      <c r="G5" s="11"/>
      <c r="H5" s="11" t="e">
        <f>Table1_557[[#This Row],[SUM1]]*Table1_557[[#This Row],[SUM2]]+C$5-D$5</f>
      </c>
      <c r="I5" s="11"/>
    </row>
    <row r="6" customHeight="1" ht="15.75">
      <c r="A6">
        <v>3</v>
      </c>
      <c r="B6" s="4" t="s">
        <v>19</v>
      </c>
      <c r="C6" s="3">
        <v>7625.29</v>
      </c>
      <c r="D6" s="5">
        <v>8881.81</v>
      </c>
      <c r="F6" s="11">
        <v>67725120.45490</v>
      </c>
      <c r="G6" s="11"/>
      <c r="H6" s="11" t="e">
        <f>Table1_557[[#This Row],[SUM1]]*Table1_557[[#This Row],[SUM2]]+C$6-D$6</f>
      </c>
      <c r="I6" s="11"/>
    </row>
    <row r="7" customHeight="1" ht="15.75">
      <c r="A7">
        <v>4</v>
      </c>
      <c r="B7" s="4" t="s">
        <v>21</v>
      </c>
      <c r="C7" s="3">
        <v>9598.85</v>
      </c>
      <c r="D7" s="5">
        <v>9660.25</v>
      </c>
      <c r="F7" s="11">
        <v>92727229.31250</v>
      </c>
      <c r="G7" s="11"/>
      <c r="H7" s="11" t="e">
        <f>Table1_557[[#This Row],[SUM1]]*Table1_557[[#This Row],[SUM2]]+C$7-D$7</f>
      </c>
      <c r="I7" s="11"/>
    </row>
    <row r="8" customHeight="1" ht="15.75">
      <c r="A8">
        <v>5</v>
      </c>
      <c r="B8" s="4" t="s">
        <v>23</v>
      </c>
      <c r="C8" s="3">
        <v>348.49</v>
      </c>
      <c r="D8" s="5">
        <v>7671.10</v>
      </c>
      <c r="F8" s="11">
        <v>2665979.02900</v>
      </c>
      <c r="G8" s="11"/>
      <c r="H8" s="11" t="e">
        <f>Table1_557[[#This Row],[SUM1]]*Table1_557[[#This Row],[SUM2]]+C$8-D$8</f>
      </c>
      <c r="I8" s="11"/>
    </row>
    <row r="9" customHeight="1" ht="15.75">
      <c r="A9">
        <v>6</v>
      </c>
      <c r="B9" s="4" t="s">
        <v>32</v>
      </c>
      <c r="C9" s="3">
        <v>4686.88</v>
      </c>
      <c r="D9" s="5">
        <v>1095.09</v>
      </c>
      <c r="F9" s="11">
        <v>5136147.20920</v>
      </c>
      <c r="G9" s="11"/>
      <c r="H9" s="11" t="e">
        <f>Table1_557[[#This Row],[SUM1]]*Table1_557[[#This Row],[SUM2]]+C$9-D$9</f>
      </c>
      <c r="I9" s="11"/>
    </row>
    <row r="10" customHeight="1" ht="15.75">
      <c r="A10">
        <v>7</v>
      </c>
      <c r="B10" s="4" t="s">
        <v>4</v>
      </c>
      <c r="C10" s="3">
        <v>4210.30</v>
      </c>
      <c r="D10" s="5">
        <v>5175.02</v>
      </c>
      <c r="F10" s="11">
        <v>21787421.98600</v>
      </c>
      <c r="G10" s="11"/>
      <c r="H10" s="11" t="e">
        <f>Table1_557[[#This Row],[SUM1]]*Table1_557[[#This Row],[SUM2]]+C$10-D$10</f>
      </c>
      <c r="I10" s="11"/>
    </row>
    <row r="11" customHeight="1" ht="15.75">
      <c r="A11">
        <v>8</v>
      </c>
      <c r="B11" s="4" t="s">
        <v>14</v>
      </c>
      <c r="C11" s="3">
        <v>3899.07</v>
      </c>
      <c r="D11" s="5">
        <v>61.55</v>
      </c>
      <c r="F11" s="11">
        <v>243825.27850</v>
      </c>
      <c r="G11" s="11"/>
      <c r="H11" s="11" t="e">
        <f>Table1_557[[#This Row],[SUM1]]*Table1_557[[#This Row],[SUM2]]+C$11-D$11</f>
      </c>
      <c r="I11" s="11"/>
    </row>
    <row r="12" customHeight="1" ht="15.75">
      <c r="A12">
        <v>9</v>
      </c>
      <c r="B12" s="4" t="s">
        <v>30</v>
      </c>
      <c r="C12" s="3">
        <v>9812.22</v>
      </c>
      <c r="D12" s="5">
        <v>2988.74</v>
      </c>
      <c r="F12" s="11">
        <v>29332997.88280</v>
      </c>
      <c r="G12" s="11"/>
      <c r="H12" s="11" t="e">
        <f>Table1_557[[#This Row],[SUM1]]*Table1_557[[#This Row],[SUM2]]+C$12-D$12</f>
      </c>
      <c r="I12" s="11"/>
    </row>
    <row r="13" customHeight="1" ht="15.75">
      <c r="A13">
        <v>10</v>
      </c>
      <c r="B13" s="4" t="s">
        <v>2</v>
      </c>
      <c r="C13" s="3">
        <v>2577.97</v>
      </c>
      <c r="D13" s="5">
        <v>1432.20</v>
      </c>
      <c r="F13" s="11">
        <v>3693314.40400</v>
      </c>
      <c r="G13" s="11"/>
      <c r="H13" s="11" t="e">
        <f>Table1_557[[#This Row],[SUM1]]*Table1_557[[#This Row],[SUM2]]+C$13-D$13</f>
      </c>
      <c r="I13" s="11"/>
    </row>
    <row r="14" customHeight="1" ht="15.75">
      <c r="A14">
        <v>11</v>
      </c>
      <c r="B14" s="4" t="s">
        <v>17</v>
      </c>
      <c r="C14" s="3">
        <v>9727.62</v>
      </c>
      <c r="D14" s="5">
        <v>3520.31</v>
      </c>
      <c r="F14" s="11">
        <v>34250445.27220</v>
      </c>
      <c r="G14" s="11"/>
      <c r="H14" s="11" t="e">
        <f>Table1_557[[#This Row],[SUM1]]*Table1_557[[#This Row],[SUM2]]+C$14-D$14</f>
      </c>
      <c r="I14" s="11"/>
    </row>
    <row r="15" customHeight="1" ht="15.75">
      <c r="A15">
        <v>12</v>
      </c>
      <c r="B15" s="4" t="s">
        <v>26</v>
      </c>
      <c r="C15" s="3">
        <v>5648.39</v>
      </c>
      <c r="D15" s="5">
        <v>7362.56</v>
      </c>
      <c r="F15" s="11">
        <v>41584896.10840</v>
      </c>
      <c r="G15" s="11"/>
      <c r="H15" s="11" t="e">
        <f>Table1_557[[#This Row],[SUM1]]*Table1_557[[#This Row],[SUM2]]+C$15-D$15</f>
      </c>
      <c r="I15" s="11"/>
    </row>
    <row r="16" customHeight="1" ht="15.75">
      <c r="A16">
        <v>13</v>
      </c>
      <c r="B16" s="4" t="s">
        <v>28</v>
      </c>
      <c r="C16" s="3">
        <v>8398.58</v>
      </c>
      <c r="D16" s="5">
        <v>8331.94</v>
      </c>
      <c r="F16" s="11">
        <v>69976531.28520</v>
      </c>
      <c r="G16" s="11"/>
      <c r="H16" s="11" t="e">
        <f>Table1_557[[#This Row],[SUM1]]*Table1_557[[#This Row],[SUM2]]+C$16-D$16</f>
      </c>
      <c r="I16" s="11"/>
    </row>
    <row r="17" customHeight="1" ht="15.75">
      <c r="A17">
        <v>14</v>
      </c>
      <c r="B17" s="4" t="s">
        <v>8</v>
      </c>
      <c r="C17" s="3">
        <v>7983.44</v>
      </c>
      <c r="D17" s="5">
        <v>7893.45</v>
      </c>
      <c r="F17" s="11">
        <v>63016974.45800</v>
      </c>
      <c r="G17" s="11"/>
      <c r="H17" s="11" t="e">
        <f>Table1_557[[#This Row],[SUM1]]*Table1_557[[#This Row],[SUM2]]+C$17-D$17</f>
      </c>
      <c r="I17" s="11"/>
    </row>
    <row r="18" customHeight="1" ht="15.75">
      <c r="A18">
        <v>15</v>
      </c>
      <c r="B18" s="4" t="s">
        <v>10</v>
      </c>
      <c r="C18" s="3">
        <v>984.63</v>
      </c>
      <c r="D18" s="5">
        <v>4030.46</v>
      </c>
      <c r="F18" s="11">
        <v>3965465.99980</v>
      </c>
      <c r="G18" s="11"/>
      <c r="H18" s="11" t="e">
        <f>Table1_557[[#This Row],[SUM1]]*Table1_557[[#This Row],[SUM2]]+C$18-D$18</f>
      </c>
      <c r="I18" s="11"/>
    </row>
    <row r="19" customHeight="1" ht="15">
      <c r="B19" s="8" t="s">
        <v>45</v>
      </c>
      <c r="C19" s="9">
        <f>SUBTOTAL(109,Table1_557[SUM1])</f>
      </c>
      <c r="D19" s="10">
        <f>SUBTOTAL(109,Table1_557[SUM2])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43</v>
      </c>
      <c r="F1" s="11" t="s">
        <v>39</v>
      </c>
      <c r="G1" s="11"/>
      <c r="H1" s="11" t="s">
        <v>40</v>
      </c>
      <c r="I1" s="11"/>
    </row>
    <row r="3" customHeight="1" ht="15.75">
      <c r="B3" s="6" t="s">
        <v>36</v>
      </c>
      <c r="C3" s="6" t="s">
        <v>37</v>
      </c>
      <c r="D3" s="7" t="s">
        <v>38</v>
      </c>
    </row>
    <row r="4" customHeight="1" ht="15.75">
      <c r="A4">
        <v>1</v>
      </c>
      <c r="B4" s="4" t="s">
        <v>14</v>
      </c>
      <c r="C4" s="3">
        <v>35.49</v>
      </c>
      <c r="D4" s="5">
        <v>4030.86</v>
      </c>
      <c r="F4" s="11">
        <v>139059.85140</v>
      </c>
      <c r="G4" s="11"/>
      <c r="H4" s="11" t="e">
        <f>Table1_558[[#This Row],[SUM1]]*Table1_558[[#This Row],[SUM2]]+C$4-D$4</f>
      </c>
      <c r="I4" s="11"/>
    </row>
    <row r="5" customHeight="1" ht="15.75">
      <c r="A5">
        <v>2</v>
      </c>
      <c r="B5" s="4" t="s">
        <v>25</v>
      </c>
      <c r="C5" s="3">
        <v>1341.45</v>
      </c>
      <c r="D5" s="5">
        <v>2623.05</v>
      </c>
      <c r="F5" s="11">
        <v>3517408.82250</v>
      </c>
      <c r="G5" s="11"/>
      <c r="H5" s="11" t="e">
        <f>Table1_558[[#This Row],[SUM1]]*Table1_558[[#This Row],[SUM2]]+C$5-D$5</f>
      </c>
      <c r="I5" s="11"/>
    </row>
    <row r="6" customHeight="1" ht="15.75">
      <c r="A6">
        <v>3</v>
      </c>
      <c r="B6" s="4" t="s">
        <v>18</v>
      </c>
      <c r="C6" s="3">
        <v>1394.64</v>
      </c>
      <c r="D6" s="5">
        <v>4013.49</v>
      </c>
      <c r="F6" s="11">
        <v>5594754.84360</v>
      </c>
      <c r="G6" s="11"/>
      <c r="H6" s="11" t="e">
        <f>Table1_558[[#This Row],[SUM1]]*Table1_558[[#This Row],[SUM2]]+C$6-D$6</f>
      </c>
      <c r="I6" s="11"/>
    </row>
    <row r="7" customHeight="1" ht="15.75">
      <c r="A7">
        <v>4</v>
      </c>
      <c r="B7" s="4" t="s">
        <v>21</v>
      </c>
      <c r="C7" s="3">
        <v>1858.78</v>
      </c>
      <c r="D7" s="5">
        <v>3109.70</v>
      </c>
      <c r="F7" s="11">
        <v>5778997.24600</v>
      </c>
      <c r="G7" s="11"/>
      <c r="H7" s="11" t="e">
        <f>Table1_558[[#This Row],[SUM1]]*Table1_558[[#This Row],[SUM2]]+C$7-D$7</f>
      </c>
      <c r="I7" s="11"/>
    </row>
    <row r="8" customHeight="1" ht="15.75">
      <c r="A8">
        <v>5</v>
      </c>
      <c r="B8" s="4" t="s">
        <v>3</v>
      </c>
      <c r="C8" s="3">
        <v>2508.08</v>
      </c>
      <c r="D8" s="5">
        <v>8984.70</v>
      </c>
      <c r="F8" s="11">
        <v>22527869.75600</v>
      </c>
      <c r="G8" s="11"/>
      <c r="H8" s="11" t="e">
        <f>Table1_558[[#This Row],[SUM1]]*Table1_558[[#This Row],[SUM2]]+C$8-D$8</f>
      </c>
      <c r="I8" s="11"/>
    </row>
    <row r="9" customHeight="1" ht="15.75">
      <c r="A9">
        <v>6</v>
      </c>
      <c r="B9" s="4" t="s">
        <v>0</v>
      </c>
      <c r="C9" s="3">
        <v>2924.84</v>
      </c>
      <c r="D9" s="5">
        <v>2170.27</v>
      </c>
      <c r="F9" s="11">
        <v>6348447.07680</v>
      </c>
      <c r="G9" s="11"/>
      <c r="H9" s="11" t="e">
        <f>Table1_558[[#This Row],[SUM1]]*Table1_558[[#This Row],[SUM2]]+C$9-D$9</f>
      </c>
      <c r="I9" s="11"/>
    </row>
    <row r="10" customHeight="1" ht="15.75">
      <c r="A10">
        <v>7</v>
      </c>
      <c r="B10" s="4" t="s">
        <v>28</v>
      </c>
      <c r="C10" s="3">
        <v>2929.12</v>
      </c>
      <c r="D10" s="5">
        <v>7000.58</v>
      </c>
      <c r="F10" s="11">
        <v>20501467.42960</v>
      </c>
      <c r="G10" s="11"/>
      <c r="H10" s="11" t="e">
        <f>Table1_558[[#This Row],[SUM1]]*Table1_558[[#This Row],[SUM2]]+C$10-D$10</f>
      </c>
      <c r="I10" s="11"/>
    </row>
    <row r="11" customHeight="1" ht="15.75">
      <c r="A11">
        <v>8</v>
      </c>
      <c r="B11" s="4" t="s">
        <v>16</v>
      </c>
      <c r="C11" s="3">
        <v>3947.41</v>
      </c>
      <c r="D11" s="5">
        <v>4178.16</v>
      </c>
      <c r="F11" s="11">
        <v>16492679.81560</v>
      </c>
      <c r="G11" s="11"/>
      <c r="H11" s="11" t="e">
        <f>Table1_558[[#This Row],[SUM1]]*Table1_558[[#This Row],[SUM2]]+C$11-D$11</f>
      </c>
      <c r="I11" s="11"/>
    </row>
    <row r="12" customHeight="1" ht="15.75">
      <c r="A12">
        <v>9</v>
      </c>
      <c r="B12" s="4" t="s">
        <v>26</v>
      </c>
      <c r="C12" s="3">
        <v>4774.97</v>
      </c>
      <c r="D12" s="5">
        <v>1010.15</v>
      </c>
      <c r="F12" s="11">
        <v>4827200.76550</v>
      </c>
      <c r="G12" s="11"/>
      <c r="H12" s="11" t="e">
        <f>Table1_558[[#This Row],[SUM1]]*Table1_558[[#This Row],[SUM2]]+C$12-D$12</f>
      </c>
      <c r="I12" s="11"/>
    </row>
    <row r="13" customHeight="1" ht="15.75">
      <c r="A13">
        <v>10</v>
      </c>
      <c r="B13" s="4" t="s">
        <v>7</v>
      </c>
      <c r="C13" s="3">
        <v>5052.44</v>
      </c>
      <c r="D13" s="5">
        <v>174.78</v>
      </c>
      <c r="F13" s="11">
        <v>887943.12320</v>
      </c>
      <c r="G13" s="11"/>
      <c r="H13" s="11" t="e">
        <f>Table1_558[[#This Row],[SUM1]]*Table1_558[[#This Row],[SUM2]]+C$13-D$13</f>
      </c>
      <c r="I13" s="11"/>
    </row>
    <row r="14" customHeight="1" ht="15.75">
      <c r="A14">
        <v>11</v>
      </c>
      <c r="B14" s="4" t="s">
        <v>33</v>
      </c>
      <c r="C14" s="3">
        <v>6202.85</v>
      </c>
      <c r="D14" s="5">
        <v>1827.85</v>
      </c>
      <c r="F14" s="11">
        <v>11342254.37250</v>
      </c>
      <c r="G14" s="11"/>
      <c r="H14" s="11" t="e">
        <f>Table1_558[[#This Row],[SUM1]]*Table1_558[[#This Row],[SUM2]]+C$14-D$14</f>
      </c>
      <c r="I14" s="11"/>
    </row>
    <row r="15" customHeight="1" ht="15.75">
      <c r="A15">
        <v>12</v>
      </c>
      <c r="B15" s="4" t="s">
        <v>10</v>
      </c>
      <c r="C15" s="3">
        <v>6397.64</v>
      </c>
      <c r="D15" s="5">
        <v>698.56</v>
      </c>
      <c r="F15" s="11">
        <v>4474834.47840</v>
      </c>
      <c r="G15" s="11"/>
      <c r="H15" s="11" t="e">
        <f>Table1_558[[#This Row],[SUM1]]*Table1_558[[#This Row],[SUM2]]+C$15-D$15</f>
      </c>
      <c r="I15" s="11"/>
    </row>
    <row r="16" customHeight="1" ht="15.75">
      <c r="A16">
        <v>13</v>
      </c>
      <c r="B16" s="4" t="s">
        <v>29</v>
      </c>
      <c r="C16" s="3">
        <v>6738.78</v>
      </c>
      <c r="D16" s="5">
        <v>7514.94</v>
      </c>
      <c r="F16" s="11">
        <v>50640751.21320</v>
      </c>
      <c r="G16" s="11"/>
      <c r="H16" s="11" t="e">
        <f>Table1_558[[#This Row],[SUM1]]*Table1_558[[#This Row],[SUM2]]+C$16-D$16</f>
      </c>
      <c r="I16" s="11"/>
    </row>
    <row r="17" customHeight="1" ht="15.75">
      <c r="A17">
        <v>14</v>
      </c>
      <c r="B17" s="4" t="s">
        <v>13</v>
      </c>
      <c r="C17" s="3">
        <v>8948.43</v>
      </c>
      <c r="D17" s="5">
        <v>1974.84</v>
      </c>
      <c r="F17" s="11">
        <v>17678691.09120</v>
      </c>
      <c r="G17" s="11"/>
      <c r="H17" s="11" t="e">
        <f>Table1_558[[#This Row],[SUM1]]*Table1_558[[#This Row],[SUM2]]+C$17-D$17</f>
      </c>
      <c r="I17" s="11"/>
    </row>
    <row r="18" customHeight="1" ht="15.75">
      <c r="A18">
        <v>15</v>
      </c>
      <c r="B18" s="4" t="s">
        <v>6</v>
      </c>
      <c r="C18" s="3">
        <v>9666.28</v>
      </c>
      <c r="D18" s="5">
        <v>5351.73</v>
      </c>
      <c r="F18" s="11">
        <v>51735635.21440</v>
      </c>
      <c r="G18" s="11"/>
      <c r="H18" s="11" t="e">
        <f>Table1_558[[#This Row],[SUM1]]*Table1_558[[#This Row],[SUM2]]+C$18-D$18</f>
      </c>
      <c r="I18" s="11"/>
    </row>
    <row r="19" customHeight="1" ht="15">
      <c r="B19" s="8" t="s">
        <v>45</v>
      </c>
      <c r="C19" s="9">
        <f>SUBTOTAL(109,Table1_558[SUM1])</f>
      </c>
      <c r="D19" s="10">
        <f>SUBTOTAL(109,Table1_558[SUM2])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First sheet</vt:lpstr>
      <vt:lpstr>{R-TITLE}</vt:lpstr>
      <vt:lpstr>Last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modekz</cp:lastModifiedBy>
  <dcterms:created xsi:type="dcterms:W3CDTF">2018-02-01T06:26:40Z</dcterms:created>
  <dcterms:modified xsi:type="dcterms:W3CDTF">2021-01-29T02:29:49Z</dcterms:modified>
</cp:coreProperties>
</file>