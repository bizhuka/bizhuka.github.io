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table+xml" PartName="/xl/tables/table5571.xml"/>
  <Override ContentType="application/vnd.openxmlformats-officedocument.spreadsheetml.table+xml" PartName="/xl/tables/table5581.xml"/>
  <Override ContentType="application/vnd.openxmlformats-officedocument.spreadsheetml.table+xml" PartName="/xl/tables/table5591.xml"/>
  <Override ContentType="application/vnd.openxmlformats-officedocument.spreadsheetml.table+xml" PartName="/xl/tables/table5601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modekz\AppData\Local\SAP\SAP GUI\tmp\"/>
    </mc:Choice>
  </mc:AlternateContent>
  <xr:revisionPtr revIDLastSave="0" documentId="13_ncr:1_{D492FF1F-33F7-4A40-86ED-3E473657533E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r:id="rId556" sheetId="556" name="First sheet"/>
    <sheet r:id="rId557" sheetId="557" name="{R-TITLE}" state="veryHidden"/>
    <sheet r:id="rId558" sheetId="558" name="Title 1"/>
    <sheet r:id="rId559" sheetId="559" name="Title 2"/>
    <sheet r:id="rId560" sheetId="560" name="Title 3"/>
    <sheet r:id="rId561" sheetId="561" name="Last sheet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<sst xmlns="http://schemas.openxmlformats.org/spreadsheetml/2006/main" count="32" uniqueCount="32">
  <si>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&lt;Caption 1 /&gt; GRP A</t>
  </si>
  <si>
    <t>&lt;Caption 10 /&gt; GRP C</t>
  </si>
  <si>
    <t>&lt;Caption 11 /&gt; GRP D</t>
  </si>
  <si>
    <t>&lt;Caption 12 /&gt; GRP C</t>
  </si>
  <si>
    <t>&lt;Caption 13 /&gt; GRP C</t>
  </si>
  <si>
    <t>&lt;Caption 14 /&gt; GRP D</t>
  </si>
  <si>
    <t>&lt;Caption 15 /&gt; GRP D</t>
  </si>
  <si>
    <t>&lt;Caption 2 /&gt; GRP C</t>
  </si>
  <si>
    <t>&lt;Caption 3 /&gt; GRP B</t>
  </si>
  <si>
    <t>&lt;Caption 4 /&gt; GRP A</t>
  </si>
  <si>
    <t>&lt;Caption 5 /&gt; GRP A</t>
  </si>
  <si>
    <t>&lt;Caption 6 /&gt; GRP C</t>
  </si>
  <si>
    <t>&lt;Caption 7 /&gt; GRP B</t>
  </si>
  <si>
    <t>&lt;Caption 8 /&gt; GRP A</t>
  </si>
  <si>
    <t>&lt;Caption 9 /&gt; GRP D</t>
  </si>
  <si>
    <r>
      <t xml:space="preserve">Title: </t>
    </r>
    <r>
      <rPr>
        <b/>
        <i/>
        <u/>
        <sz val="11"/>
        <color indexed="50"/>
        <rFont val="Calibri"/>
        <family val="2"/>
        <charset val="204"/>
      </rPr>
      <t>Last title</t>
    </r>
  </si>
  <si>
    <r>
      <t xml:space="preserve">Title: </t>
    </r>
    <r>
      <rPr>
        <b/>
        <sz val="11"/>
        <color indexed="40"/>
        <rFont val="Calibri"/>
        <family val="2"/>
        <charset val="204"/>
      </rPr>
      <t>First title</t>
    </r>
  </si>
  <si>
    <t>Caption - Group</t>
  </si>
  <si>
    <t>SUM1</t>
  </si>
  <si>
    <t>SUM2</t>
  </si>
  <si>
    <t>Sum in ABAP</t>
  </si>
  <si>
    <t>Sum in Excel</t>
  </si>
  <si>
    <t>Title: Title 1</t>
  </si>
  <si>
    <t>Title: Title 2</t>
  </si>
  <si>
    <t>Title: Title 3</t>
  </si>
  <si>
    <t>Title: {R-TITLE}</t>
  </si>
  <si>
    <t>Total</t>
  </si>
  <si>
    <t>{R-T-CAPTION} {R-T-GROUP}</t>
  </si>
  <si>
    <t>{R-T-SUM1}</t>
  </si>
  <si>
    <t>{R-T-SUM2}</t>
  </si>
  <si>
    <t>{R-T;cond=sy-tabix;type=integer}</t>
  </si>
  <si>
    <t>{R-T;cond=value-SUM1 * value-SUM2 + value-SUM1 - value-SUM2 ;type=double}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</si>
</sst>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40"/>
      <name val="Calibri"/>
      <family val="2"/>
      <charset val="204"/>
    </font>
    <font>
      <b/>
      <i/>
      <u/>
      <sz val="11"/>
      <color indexed="50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4" fontId="0" fillId="0" borderId="0" xfId="0" applyNumberFormat="1"/>
    <xf numFmtId="4" fontId="0" fillId="0" borderId="10" xfId="0" applyNumberFormat="1" applyFont="1" applyBorder="1" applyAlignment="1">
      <alignment horizontal="right" vertical="center" wrapText="1"/>
    </xf>
    <xf numFmtId="0" fontId="0" fillId="0" borderId="10" xfId="0" applyFont="1" applyBorder="1" applyAlignment="1">
      <alignment vertical="center" wrapText="1"/>
    </xf>
    <xf numFmtId="4" fontId="0" fillId="0" borderId="0" xfId="0" applyNumberFormat="1" applyFont="1" applyBorder="1" applyAlignment="1">
      <alignment horizontal="right" vertical="center" wrapText="1"/>
    </xf>
    <xf numFmtId="0" fontId="0" fillId="33" borderId="11" xfId="0" applyFont="1" applyFill="1" applyBorder="1" applyAlignment="1">
      <alignment horizontal="center" vertical="center" wrapText="1"/>
    </xf>
    <xf numFmtId="0" fontId="0" fillId="33" borderId="12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vertical="center" wrapText="1"/>
    </xf>
    <xf numFmtId="4" fontId="20" fillId="0" borderId="10" xfId="0" applyNumberFormat="1" applyFont="1" applyBorder="1" applyAlignment="1">
      <alignment horizontal="right" vertical="center" wrapText="1"/>
    </xf>
    <xf numFmtId="4" fontId="20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Normal 2" xfId="42" xr:uid="{00000000-0005-0000-0000-000025000000}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4" formatCode="#,##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4" formatCode="#,##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4" formatCode="#,##0.00"/>
      <alignment horizontal="right" vertical="center" textRotation="0" wrapText="1" indent="0" justifyLastLine="0" shrinkToFit="0" readingOrder="0"/>
      <border diagonalUp="0" diagonalDown="0" outline="0">
        <left/>
        <right style="medium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4" formatCode="#,##0.00"/>
      <alignment horizontal="right" vertical="center" textRotation="0" wrapText="1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medium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border outline="0">
        <left style="medium">
          <color auto="1"/>
        </left>
        <right style="medium">
          <color auto="1"/>
        </right>
        <top style="medium">
          <color indexed="64"/>
        </top>
        <bottom style="medium">
          <color auto="1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7" Type="http://schemas.openxmlformats.org/officeDocument/2006/relationships/calcChain" Target="calcChain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Target="worksheets/sheet556.xml" Type="http://schemas.openxmlformats.org/officeDocument/2006/relationships/worksheet" Id="rId556"/><Relationship Target="worksheets/sheet557.xml" Type="http://schemas.openxmlformats.org/officeDocument/2006/relationships/worksheet" Id="rId557"/><Relationship Target="worksheets/sheet558.xml" Type="http://schemas.openxmlformats.org/officeDocument/2006/relationships/worksheet" Id="rId558"/><Relationship Target="worksheets/sheet559.xml" Type="http://schemas.openxmlformats.org/officeDocument/2006/relationships/worksheet" Id="rId559"/><Relationship Target="worksheets/sheet560.xml" Type="http://schemas.openxmlformats.org/officeDocument/2006/relationships/worksheet" Id="rId560"/><Relationship Target="worksheets/sheet561.xml" Type="http://schemas.openxmlformats.org/officeDocument/2006/relationships/worksheet" Id="rId561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</xdr:colOff>
      <xdr:row>0</xdr:row>
      <xdr:rowOff>9525</xdr:rowOff>
    </xdr:from>
    <xdr:to>
      <xdr:col>11</xdr:col>
      <xdr:colOff>124044</xdr:colOff>
      <xdr:row>2</xdr:row>
      <xdr:rowOff>68423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6175" y="9525"/>
          <a:ext cx="1324194" cy="4494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3:D5" totalsRowCount="1" headerRowDxfId="8" headerRowBorderDxfId="7" tableBorderDxfId="6">
  <autoFilter ref="B3:D4" xr:uid="{00000000-0009-0000-0100-000001000000}"/>
  <tableColumns count="3">
    <tableColumn id="1" xr3:uid="{00000000-0010-0000-0000-000001000000}" name="Caption - Group" totalsRowLabel="Total" dataDxfId="5" totalsRowDxfId="4"/>
    <tableColumn id="2" xr3:uid="{00000000-0010-0000-0000-000002000000}" name="SUM1" totalsRowFunction="sum" dataDxfId="3" totalsRowDxfId="2"/>
    <tableColumn id="3" xr3:uid="{00000000-0010-0000-0000-000003000000}" name="SUM2" totalsRowFunction="sum" dataDxfId="1" totalsRowDxfId="0"/>
  </tableColumns>
  <tableStyleInfo name="TableStyleLight13" showFirstColumn="0" showLastColumn="0" showRowStripes="1" showColumnStripes="0"/>
</table>
</file>

<file path=xl/tables/table55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71" xr:uid="{00000000-000C-0000-FFFF-FFFF00000000}" name="Table1_557" displayName="Table1_557" ref="B3:D5" totalsRowCount="1" headerRowDxfId="8" headerRowBorderDxfId="7" tableBorderDxfId="6">
  <autoFilter ref="B3:D4" xr:uid="{00000000-0009-0000-0100-000001000000}"/>
  <tableColumns count="3">
    <tableColumn id="1" xr3:uid="{00000000-0010-0000-0000-000001000000}" name="Caption - Group" totalsRowLabel="Total" dataDxfId="5" totalsRowDxfId="4"/>
    <tableColumn id="2" xr3:uid="{00000000-0010-0000-0000-000002000000}" name="SUM1" totalsRowFunction="sum" dataDxfId="3" totalsRowDxfId="2"/>
    <tableColumn id="3" xr3:uid="{00000000-0010-0000-0000-000003000000}" name="SUM2" totalsRowFunction="sum" dataDxfId="1" totalsRowDxfId="0"/>
  </tableColumns>
  <tableStyleInfo name="TableStyleLight13" showFirstColumn="0" showLastColumn="0" showRowStripes="1" showColumnStripes="0"/>
</table>
</file>

<file path=xl/tables/table55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81" xr:uid="{00000000-000C-0000-FFFF-FFFF00000000}" name="Table1_558" displayName="Table1_558" ref="B3:D19" totalsRowCount="1" headerRowDxfId="8" headerRowBorderDxfId="7" tableBorderDxfId="6">
  <autoFilter ref="B3:D4" xr:uid="{00000000-0009-0000-0100-000001000000}"/>
  <tableColumns count="3">
    <tableColumn id="1" xr3:uid="{00000000-0010-0000-0000-000001000000}" name="Caption - Group" totalsRowLabel="Total" dataDxfId="5" totalsRowDxfId="4"/>
    <tableColumn id="2" xr3:uid="{00000000-0010-0000-0000-000002000000}" name="SUM1" totalsRowFunction="sum" dataDxfId="3" totalsRowDxfId="2"/>
    <tableColumn id="3" xr3:uid="{00000000-0010-0000-0000-000003000000}" name="SUM2" totalsRowFunction="sum" dataDxfId="1" totalsRowDxfId="0"/>
  </tableColumns>
  <tableStyleInfo name="TableStyleLight13" showFirstColumn="0" showLastColumn="0" showRowStripes="1" showColumnStripes="0"/>
</table>
</file>

<file path=xl/tables/table55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91" xr:uid="{00000000-000C-0000-FFFF-FFFF00000000}" name="Table1_559" displayName="Table1_559" ref="B3:D19" totalsRowCount="1" headerRowDxfId="8" headerRowBorderDxfId="7" tableBorderDxfId="6">
  <autoFilter ref="B3:D4" xr:uid="{00000000-0009-0000-0100-000001000000}"/>
  <tableColumns count="3">
    <tableColumn id="1" xr3:uid="{00000000-0010-0000-0000-000001000000}" name="Caption - Group" totalsRowLabel="Total" dataDxfId="5" totalsRowDxfId="4"/>
    <tableColumn id="2" xr3:uid="{00000000-0010-0000-0000-000002000000}" name="SUM1" totalsRowFunction="sum" dataDxfId="3" totalsRowDxfId="2"/>
    <tableColumn id="3" xr3:uid="{00000000-0010-0000-0000-000003000000}" name="SUM2" totalsRowFunction="sum" dataDxfId="1" totalsRowDxfId="0"/>
  </tableColumns>
  <tableStyleInfo name="TableStyleLight13" showFirstColumn="0" showLastColumn="0" showRowStripes="1" showColumnStripes="0"/>
</table>
</file>

<file path=xl/tables/table56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01" xr:uid="{00000000-000C-0000-FFFF-FFFF00000000}" name="Table1_560" displayName="Table1_560" ref="B3:D19" totalsRowCount="1" headerRowDxfId="8" headerRowBorderDxfId="7" tableBorderDxfId="6">
  <autoFilter ref="B3:D4" xr:uid="{00000000-0009-0000-0100-000001000000}"/>
  <tableColumns count="3">
    <tableColumn id="1" xr3:uid="{00000000-0010-0000-0000-000001000000}" name="Caption - Group" totalsRowLabel="Total" dataDxfId="5" totalsRowDxfId="4"/>
    <tableColumn id="2" xr3:uid="{00000000-0010-0000-0000-000002000000}" name="SUM1" totalsRowFunction="sum" dataDxfId="3" totalsRowDxfId="2"/>
    <tableColumn id="3" xr3:uid="{00000000-0010-0000-0000-000003000000}" name="SUM2" totalsRowFunction="sum" dataDxfId="1" totalsRow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56.xml.rels><?xml version="1.0" encoding="UTF-8" standalone="yes"?><Relationships xmlns="http://schemas.openxmlformats.org/package/2006/relationships"></Relationships>
</file>

<file path=xl/worksheets/_rels/sheet5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571.xml"/><Relationship Id="rId1" Type="http://schemas.openxmlformats.org/officeDocument/2006/relationships/drawing" Target="../drawings/drawing1.xml"/></Relationships>
</file>

<file path=xl/worksheets/_rels/sheet55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581.xml"/><Relationship Id="rId1" Type="http://schemas.openxmlformats.org/officeDocument/2006/relationships/drawing" Target="../drawings/drawing1.xml"/></Relationships>
</file>

<file path=xl/worksheets/_rels/sheet55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591.xml"/><Relationship Id="rId1" Type="http://schemas.openxmlformats.org/officeDocument/2006/relationships/drawing" Target="../drawings/drawing1.xml"/></Relationships>
</file>

<file path=xl/worksheets/_rels/sheet5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601.xml"/><Relationship Id="rId1" Type="http://schemas.openxmlformats.org/officeDocument/2006/relationships/drawing" Target="../drawings/drawing1.xml"/></Relationships>
</file>

<file path=xl/worksheets/_rels/sheet56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1" sqref="D1"/>
    </sheetView>
  </sheetViews>
  <sheetFormatPr defaultRowHeight="15" customHeight="1" x14ac:dyDescent="0.25"/>
  <cols>
    <col min="1" max="1" width="31.28515625" customWidth="1"/>
  </cols>
  <sheetData>
    <row r="1" spans="1:1" ht="15" customHeight="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A4" sqref="A4"/>
    </sheetView>
  </sheetViews>
  <sheetFormatPr defaultRowHeight="15" customHeight="1" x14ac:dyDescent="0.25"/>
  <cols>
    <col min="2" max="2" width="49.28515625" customWidth="1"/>
    <col min="3" max="4" width="32.5703125" customWidth="1"/>
  </cols>
  <sheetData>
    <row r="1" spans="1:9" ht="15" customHeight="1" x14ac:dyDescent="0.25">
      <c r="B1" t="s">
        <v>8</v>
      </c>
      <c r="F1" s="11" t="s">
        <v>11</v>
      </c>
      <c r="G1" s="11"/>
      <c r="H1" s="11" t="s">
        <v>12</v>
      </c>
      <c r="I1" s="11"/>
    </row>
    <row r="2" spans="1:9" ht="15.75" customHeight="1" x14ac:dyDescent="0.25"/>
    <row r="3" spans="1:9" ht="15.75" customHeight="1" thickBot="1" x14ac:dyDescent="0.3">
      <c r="B3" s="6" t="s">
        <v>7</v>
      </c>
      <c r="C3" s="6" t="s">
        <v>2</v>
      </c>
      <c r="D3" s="7" t="s">
        <v>3</v>
      </c>
    </row>
    <row r="4" spans="1:9" ht="15.75" customHeight="1" x14ac:dyDescent="0.25">
      <c r="A4" t="s">
        <v>10</v>
      </c>
      <c r="B4" s="4" t="s">
        <v>6</v>
      </c>
      <c r="C4" s="3" t="s">
        <v>4</v>
      </c>
      <c r="D4" s="5" t="s">
        <v>5</v>
      </c>
      <c r="F4" s="11" t="s">
        <v>13</v>
      </c>
      <c r="G4" s="11"/>
      <c r="H4" s="11" t="e">
        <f>Table1[[#This Row],[SUM1]]*Table1[[#This Row],[SUM2]]+C$4-D$4</f>
        <v>#VALUE!</v>
      </c>
      <c r="I4" s="11"/>
    </row>
    <row r="5" spans="1:9" ht="15" customHeight="1" x14ac:dyDescent="0.25">
      <c r="B5" s="8" t="s">
        <v>9</v>
      </c>
      <c r="C5" s="9">
        <f>SUBTOTAL(109,Table1[SUM1])</f>
        <v>0</v>
      </c>
      <c r="D5" s="10">
        <f>SUBTOTAL(109,Table1[SUM2])</f>
        <v>0</v>
      </c>
    </row>
    <row r="6" spans="1:9" ht="15" customHeight="1" x14ac:dyDescent="0.25">
      <c r="B6" s="1"/>
      <c r="C6" s="2"/>
      <c r="D6" s="2"/>
    </row>
  </sheetData>
  <mergeCells count="4">
    <mergeCell ref="F4:G4"/>
    <mergeCell ref="F1:G1"/>
    <mergeCell ref="H1:I1"/>
    <mergeCell ref="H4:I4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1" sqref="B1"/>
    </sheetView>
  </sheetViews>
  <sheetFormatPr defaultRowHeight="15" customHeight="1" x14ac:dyDescent="0.25"/>
  <cols>
    <col min="1" max="1" width="34.28515625" customWidth="1"/>
  </cols>
  <sheetData>
    <row r="1" spans="1:1" ht="15" customHeight="1" x14ac:dyDescent="0.25">
      <c r="A1" t="s">
        <v>1</v>
      </c>
    </row>
  </sheetData>
  <pageMargins left="0.7" right="0.7" top="0.75" bottom="0.75" header="0.3" footer="0.3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1" sqref="D1"/>
    </sheetView>
  </sheetViews>
  <sheetFormatPr defaultRowHeight="15" customHeight="1" x14ac:dyDescent="0.25"/>
  <cols>
    <col customWidth="1" max="1" min="1" width="31.28515625"/>
  </cols>
  <sheetData>
    <row r="1" customHeight="1" ht="15">
      <c r="A1" t="s">
        <v>16</v>
      </c>
    </row>
  </sheetData>
  <pageMargins left="0.7" right="0.7" top="0.75" bottom="0.75" header="0.3" footer="0.3"/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A4" sqref="A4"/>
    </sheetView>
  </sheetViews>
  <sheetFormatPr defaultRowHeight="15" customHeight="1" x14ac:dyDescent="0.25"/>
  <cols>
    <col customWidth="1" max="2" min="2" width="49.28515625"/>
    <col customWidth="1" max="3" min="3" width="32.5703125"/>
    <col customWidth="1" max="4" min="4" width="32.5703125"/>
  </cols>
  <sheetData>
    <row r="1" customHeight="1" ht="15">
      <c r="B1" t="s">
        <v>25</v>
      </c>
      <c r="F1" s="11" t="s">
        <v>20</v>
      </c>
      <c r="G1" s="11"/>
      <c r="H1" s="11" t="s">
        <v>21</v>
      </c>
      <c r="I1" s="11"/>
    </row>
    <row r="3" customHeight="1" ht="15.75">
      <c r="B3" s="6" t="s">
        <v>17</v>
      </c>
      <c r="C3" s="6" t="s">
        <v>18</v>
      </c>
      <c r="D3" s="7" t="s">
        <v>19</v>
      </c>
    </row>
    <row r="4" customHeight="1" ht="15.75">
      <c r="A4" t="s">
        <v>30</v>
      </c>
      <c r="B4" s="4" t="s">
        <v>27</v>
      </c>
      <c r="C4" s="3" t="s">
        <v>28</v>
      </c>
      <c r="D4" s="5" t="s">
        <v>29</v>
      </c>
      <c r="F4" s="11" t="s">
        <v>31</v>
      </c>
      <c r="G4" s="11"/>
      <c r="H4" s="11" t="e">
        <f>Table1_557[[#This Row],[SUM1]]*Table1_557[[#This Row],[SUM2]]+C$4-D$4</f>
      </c>
      <c r="I4" s="11"/>
    </row>
    <row r="5" customHeight="1" ht="15">
      <c r="B5" s="8" t="s">
        <v>26</v>
      </c>
      <c r="C5" s="9">
        <f>SUBTOTAL(109,Table1_557[SUM1])</f>
      </c>
      <c r="D5" s="10">
        <f>SUBTOTAL(109,Table1_557[SUM2])</f>
      </c>
    </row>
    <row r="6" customHeight="1" ht="15">
      <c r="B6" s="1"/>
      <c r="C6" s="2"/>
      <c r="D6" s="2"/>
    </row>
  </sheetData>
  <mergeCells count="4">
    <mergeCell ref="F1:G1"/>
    <mergeCell ref="H1:I1"/>
    <mergeCell ref="F4:G4"/>
    <mergeCell ref="H4:I4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A4" sqref="A4"/>
    </sheetView>
  </sheetViews>
  <sheetFormatPr defaultRowHeight="15" customHeight="1" x14ac:dyDescent="0.25"/>
  <cols>
    <col customWidth="1" max="2" min="2" width="49.28515625"/>
    <col customWidth="1" max="3" min="3" width="32.5703125"/>
    <col customWidth="1" max="4" min="4" width="32.5703125"/>
  </cols>
  <sheetData>
    <row r="1" customHeight="1" ht="15">
      <c r="B1" t="s">
        <v>22</v>
      </c>
      <c r="F1" s="11" t="s">
        <v>20</v>
      </c>
      <c r="G1" s="11"/>
      <c r="H1" s="11" t="s">
        <v>21</v>
      </c>
      <c r="I1" s="11"/>
    </row>
    <row r="3" customHeight="1" ht="15.75">
      <c r="B3" s="6" t="s">
        <v>17</v>
      </c>
      <c r="C3" s="6" t="s">
        <v>18</v>
      </c>
      <c r="D3" s="7" t="s">
        <v>19</v>
      </c>
    </row>
    <row r="4" customHeight="1" ht="15.75">
      <c r="A4">
        <v>1</v>
      </c>
      <c r="B4" s="4" t="s">
        <v>0</v>
      </c>
      <c r="C4" s="3">
        <v>5971.44</v>
      </c>
      <c r="D4" s="5">
        <v>5021.46</v>
      </c>
      <c r="F4" s="11">
        <v>29986297.08240</v>
      </c>
      <c r="G4" s="11"/>
      <c r="H4" s="11" t="e">
        <f>Table1_558[[#This Row],[SUM1]]*Table1_558[[#This Row],[SUM2]]+C$4-D$4</f>
      </c>
      <c r="I4" s="11"/>
    </row>
    <row r="5" customHeight="1" ht="15.75">
      <c r="A5">
        <v>2</v>
      </c>
      <c r="B5" s="4" t="s">
        <v>1</v>
      </c>
      <c r="C5" s="3">
        <v>5451.87</v>
      </c>
      <c r="D5" s="5">
        <v>4061.85</v>
      </c>
      <c r="F5" s="11">
        <v>22146068.17950</v>
      </c>
      <c r="G5" s="11"/>
      <c r="H5" s="11" t="e">
        <f>Table1_558[[#This Row],[SUM1]]*Table1_558[[#This Row],[SUM2]]+C$5-D$5</f>
      </c>
      <c r="I5" s="11"/>
    </row>
    <row r="6" customHeight="1" ht="15.75">
      <c r="A6">
        <v>3</v>
      </c>
      <c r="B6" s="4" t="s">
        <v>2</v>
      </c>
      <c r="C6" s="3">
        <v>4573.55</v>
      </c>
      <c r="D6" s="5">
        <v>5436.00</v>
      </c>
      <c r="F6" s="11">
        <v>24860955.35000</v>
      </c>
      <c r="G6" s="11"/>
      <c r="H6" s="11" t="e">
        <f>Table1_558[[#This Row],[SUM1]]*Table1_558[[#This Row],[SUM2]]+C$6-D$6</f>
      </c>
      <c r="I6" s="11"/>
    </row>
    <row r="7" customHeight="1" ht="15.75">
      <c r="A7">
        <v>4</v>
      </c>
      <c r="B7" s="4" t="s">
        <v>3</v>
      </c>
      <c r="C7" s="3">
        <v>1196.35</v>
      </c>
      <c r="D7" s="5">
        <v>522.46</v>
      </c>
      <c r="F7" s="11">
        <v>625718.91100</v>
      </c>
      <c r="G7" s="11"/>
      <c r="H7" s="11" t="e">
        <f>Table1_558[[#This Row],[SUM1]]*Table1_558[[#This Row],[SUM2]]+C$7-D$7</f>
      </c>
      <c r="I7" s="11"/>
    </row>
    <row r="8" customHeight="1" ht="15.75">
      <c r="A8">
        <v>5</v>
      </c>
      <c r="B8" s="4" t="s">
        <v>4</v>
      </c>
      <c r="C8" s="3">
        <v>7686.95</v>
      </c>
      <c r="D8" s="5">
        <v>2727.98</v>
      </c>
      <c r="F8" s="11">
        <v>20974804.83100</v>
      </c>
      <c r="G8" s="11"/>
      <c r="H8" s="11" t="e">
        <f>Table1_558[[#This Row],[SUM1]]*Table1_558[[#This Row],[SUM2]]+C$8-D$8</f>
      </c>
      <c r="I8" s="11"/>
    </row>
    <row r="9" customHeight="1" ht="15.75">
      <c r="A9">
        <v>6</v>
      </c>
      <c r="B9" s="4" t="s">
        <v>5</v>
      </c>
      <c r="C9" s="3">
        <v>978.18</v>
      </c>
      <c r="D9" s="5">
        <v>295.55</v>
      </c>
      <c r="F9" s="11">
        <v>289783.72900</v>
      </c>
      <c r="G9" s="11"/>
      <c r="H9" s="11" t="e">
        <f>Table1_558[[#This Row],[SUM1]]*Table1_558[[#This Row],[SUM2]]+C$9-D$9</f>
      </c>
      <c r="I9" s="11"/>
    </row>
    <row r="10" customHeight="1" ht="15.75">
      <c r="A10">
        <v>7</v>
      </c>
      <c r="B10" s="4" t="s">
        <v>6</v>
      </c>
      <c r="C10" s="3">
        <v>71.12</v>
      </c>
      <c r="D10" s="5">
        <v>8878.56</v>
      </c>
      <c r="F10" s="11">
        <v>622635.74720</v>
      </c>
      <c r="G10" s="11"/>
      <c r="H10" s="11" t="e">
        <f>Table1_558[[#This Row],[SUM1]]*Table1_558[[#This Row],[SUM2]]+C$10-D$10</f>
      </c>
      <c r="I10" s="11"/>
    </row>
    <row r="11" customHeight="1" ht="15.75">
      <c r="A11">
        <v>8</v>
      </c>
      <c r="B11" s="4" t="s">
        <v>7</v>
      </c>
      <c r="C11" s="3">
        <v>2276.75</v>
      </c>
      <c r="D11" s="5">
        <v>7717.20</v>
      </c>
      <c r="F11" s="11">
        <v>17564694.65000</v>
      </c>
      <c r="G11" s="11"/>
      <c r="H11" s="11" t="e">
        <f>Table1_558[[#This Row],[SUM1]]*Table1_558[[#This Row],[SUM2]]+C$11-D$11</f>
      </c>
      <c r="I11" s="11"/>
    </row>
    <row r="12" customHeight="1" ht="15.75">
      <c r="A12">
        <v>9</v>
      </c>
      <c r="B12" s="4" t="s">
        <v>8</v>
      </c>
      <c r="C12" s="3">
        <v>3031.38</v>
      </c>
      <c r="D12" s="5">
        <v>445.22</v>
      </c>
      <c r="F12" s="11">
        <v>1352217.16360</v>
      </c>
      <c r="G12" s="11"/>
      <c r="H12" s="11" t="e">
        <f>Table1_558[[#This Row],[SUM1]]*Table1_558[[#This Row],[SUM2]]+C$12-D$12</f>
      </c>
      <c r="I12" s="11"/>
    </row>
    <row r="13" customHeight="1" ht="15.75">
      <c r="A13">
        <v>10</v>
      </c>
      <c r="B13" s="4" t="s">
        <v>9</v>
      </c>
      <c r="C13" s="3">
        <v>9476.79</v>
      </c>
      <c r="D13" s="5">
        <v>3683.27</v>
      </c>
      <c r="F13" s="11">
        <v>34911369.82330</v>
      </c>
      <c r="G13" s="11"/>
      <c r="H13" s="11" t="e">
        <f>Table1_558[[#This Row],[SUM1]]*Table1_558[[#This Row],[SUM2]]+C$13-D$13</f>
      </c>
      <c r="I13" s="11"/>
    </row>
    <row r="14" customHeight="1" ht="15.75">
      <c r="A14">
        <v>11</v>
      </c>
      <c r="B14" s="4" t="s">
        <v>10</v>
      </c>
      <c r="C14" s="3">
        <v>4604.00</v>
      </c>
      <c r="D14" s="5">
        <v>5525.85</v>
      </c>
      <c r="F14" s="11">
        <v>25440091.55000</v>
      </c>
      <c r="G14" s="11"/>
      <c r="H14" s="11" t="e">
        <f>Table1_558[[#This Row],[SUM1]]*Table1_558[[#This Row],[SUM2]]+C$14-D$14</f>
      </c>
      <c r="I14" s="11"/>
    </row>
    <row r="15" customHeight="1" ht="15.75">
      <c r="A15">
        <v>12</v>
      </c>
      <c r="B15" s="4" t="s">
        <v>11</v>
      </c>
      <c r="C15" s="3">
        <v>2159.71</v>
      </c>
      <c r="D15" s="5">
        <v>2260.94</v>
      </c>
      <c r="F15" s="11">
        <v>4882873.49740</v>
      </c>
      <c r="G15" s="11"/>
      <c r="H15" s="11" t="e">
        <f>Table1_558[[#This Row],[SUM1]]*Table1_558[[#This Row],[SUM2]]+C$15-D$15</f>
      </c>
      <c r="I15" s="11"/>
    </row>
    <row r="16" customHeight="1" ht="15.75">
      <c r="A16">
        <v>13</v>
      </c>
      <c r="B16" s="4" t="s">
        <v>12</v>
      </c>
      <c r="C16" s="3">
        <v>2490.30</v>
      </c>
      <c r="D16" s="5">
        <v>6388.81</v>
      </c>
      <c r="F16" s="11">
        <v>15906155.03300</v>
      </c>
      <c r="G16" s="11"/>
      <c r="H16" s="11" t="e">
        <f>Table1_558[[#This Row],[SUM1]]*Table1_558[[#This Row],[SUM2]]+C$16-D$16</f>
      </c>
      <c r="I16" s="11"/>
    </row>
    <row r="17" customHeight="1" ht="15.75">
      <c r="A17">
        <v>14</v>
      </c>
      <c r="B17" s="4" t="s">
        <v>13</v>
      </c>
      <c r="C17" s="3">
        <v>5476.81</v>
      </c>
      <c r="D17" s="5">
        <v>406.18</v>
      </c>
      <c r="F17" s="11">
        <v>2229641.31580</v>
      </c>
      <c r="G17" s="11"/>
      <c r="H17" s="11" t="e">
        <f>Table1_558[[#This Row],[SUM1]]*Table1_558[[#This Row],[SUM2]]+C$17-D$17</f>
      </c>
      <c r="I17" s="11"/>
    </row>
    <row r="18" customHeight="1" ht="15.75">
      <c r="A18">
        <v>15</v>
      </c>
      <c r="B18" s="4" t="s">
        <v>14</v>
      </c>
      <c r="C18" s="3">
        <v>689.66</v>
      </c>
      <c r="D18" s="5">
        <v>518.60</v>
      </c>
      <c r="F18" s="11">
        <v>357828.73600</v>
      </c>
      <c r="G18" s="11"/>
      <c r="H18" s="11" t="e">
        <f>Table1_558[[#This Row],[SUM1]]*Table1_558[[#This Row],[SUM2]]+C$18-D$18</f>
      </c>
      <c r="I18" s="11"/>
    </row>
    <row r="19" customHeight="1" ht="15">
      <c r="B19" s="8" t="s">
        <v>26</v>
      </c>
      <c r="C19" s="9">
        <f>SUBTOTAL(109,Table1_558[SUM1])</f>
      </c>
      <c r="D19" s="10">
        <f>SUBTOTAL(109,Table1_558[SUM2])</f>
      </c>
    </row>
    <row r="20" customHeight="1" ht="15">
      <c r="B20" s="1"/>
      <c r="C20" s="2"/>
      <c r="D20" s="2"/>
    </row>
  </sheetData>
  <mergeCells count="32">
    <mergeCell ref="F1:G1"/>
    <mergeCell ref="H1:I1"/>
    <mergeCell ref="F4:G4"/>
    <mergeCell ref="H4:I4"/>
    <mergeCell ref="F5:G5"/>
    <mergeCell ref="H5:I5"/>
    <mergeCell ref="F6:G6"/>
    <mergeCell ref="H6:I6"/>
    <mergeCell ref="F7:G7"/>
    <mergeCell ref="H7:I7"/>
    <mergeCell ref="F8:G8"/>
    <mergeCell ref="H8:I8"/>
    <mergeCell ref="F9:G9"/>
    <mergeCell ref="H9:I9"/>
    <mergeCell ref="F10:G10"/>
    <mergeCell ref="H10:I10"/>
    <mergeCell ref="F11:G11"/>
    <mergeCell ref="H11:I11"/>
    <mergeCell ref="F12:G12"/>
    <mergeCell ref="H12:I12"/>
    <mergeCell ref="F13:G13"/>
    <mergeCell ref="H13:I13"/>
    <mergeCell ref="F14:G14"/>
    <mergeCell ref="H14:I14"/>
    <mergeCell ref="F15:G15"/>
    <mergeCell ref="H15:I15"/>
    <mergeCell ref="F16:G16"/>
    <mergeCell ref="H16:I16"/>
    <mergeCell ref="F17:G17"/>
    <mergeCell ref="H17:I17"/>
    <mergeCell ref="F18:G18"/>
    <mergeCell ref="H18:I18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A4" sqref="A4"/>
    </sheetView>
  </sheetViews>
  <sheetFormatPr defaultRowHeight="15" customHeight="1" x14ac:dyDescent="0.25"/>
  <cols>
    <col customWidth="1" max="2" min="2" width="49.28515625"/>
    <col customWidth="1" max="3" min="3" width="32.5703125"/>
    <col customWidth="1" max="4" min="4" width="32.5703125"/>
  </cols>
  <sheetData>
    <row r="1" customHeight="1" ht="15">
      <c r="B1" t="s">
        <v>23</v>
      </c>
      <c r="F1" s="11" t="s">
        <v>20</v>
      </c>
      <c r="G1" s="11"/>
      <c r="H1" s="11" t="s">
        <v>21</v>
      </c>
      <c r="I1" s="11"/>
    </row>
    <row r="3" customHeight="1" ht="15.75">
      <c r="B3" s="6" t="s">
        <v>17</v>
      </c>
      <c r="C3" s="6" t="s">
        <v>18</v>
      </c>
      <c r="D3" s="7" t="s">
        <v>19</v>
      </c>
    </row>
    <row r="4" customHeight="1" ht="15.75">
      <c r="A4">
        <v>1</v>
      </c>
      <c r="B4" s="4" t="s">
        <v>0</v>
      </c>
      <c r="C4" s="3">
        <v>5971.44</v>
      </c>
      <c r="D4" s="5">
        <v>5021.46</v>
      </c>
      <c r="F4" s="11">
        <v>29986297.08240</v>
      </c>
      <c r="G4" s="11"/>
      <c r="H4" s="11" t="e">
        <f>Table1_559[[#This Row],[SUM1]]*Table1_559[[#This Row],[SUM2]]+C$4-D$4</f>
      </c>
      <c r="I4" s="11"/>
    </row>
    <row r="5" customHeight="1" ht="15.75">
      <c r="A5">
        <v>2</v>
      </c>
      <c r="B5" s="4" t="s">
        <v>9</v>
      </c>
      <c r="C5" s="3">
        <v>9476.79</v>
      </c>
      <c r="D5" s="5">
        <v>3683.27</v>
      </c>
      <c r="F5" s="11">
        <v>34911369.82330</v>
      </c>
      <c r="G5" s="11"/>
      <c r="H5" s="11" t="e">
        <f>Table1_559[[#This Row],[SUM1]]*Table1_559[[#This Row],[SUM2]]+C$5-D$5</f>
      </c>
      <c r="I5" s="11"/>
    </row>
    <row r="6" customHeight="1" ht="15.75">
      <c r="A6">
        <v>3</v>
      </c>
      <c r="B6" s="4" t="s">
        <v>10</v>
      </c>
      <c r="C6" s="3">
        <v>4604.00</v>
      </c>
      <c r="D6" s="5">
        <v>5525.85</v>
      </c>
      <c r="F6" s="11">
        <v>25440091.55000</v>
      </c>
      <c r="G6" s="11"/>
      <c r="H6" s="11" t="e">
        <f>Table1_559[[#This Row],[SUM1]]*Table1_559[[#This Row],[SUM2]]+C$6-D$6</f>
      </c>
      <c r="I6" s="11"/>
    </row>
    <row r="7" customHeight="1" ht="15.75">
      <c r="A7">
        <v>4</v>
      </c>
      <c r="B7" s="4" t="s">
        <v>13</v>
      </c>
      <c r="C7" s="3">
        <v>5476.81</v>
      </c>
      <c r="D7" s="5">
        <v>406.18</v>
      </c>
      <c r="F7" s="11">
        <v>2229641.31580</v>
      </c>
      <c r="G7" s="11"/>
      <c r="H7" s="11" t="e">
        <f>Table1_559[[#This Row],[SUM1]]*Table1_559[[#This Row],[SUM2]]+C$7-D$7</f>
      </c>
      <c r="I7" s="11"/>
    </row>
    <row r="8" customHeight="1" ht="15.75">
      <c r="A8">
        <v>5</v>
      </c>
      <c r="B8" s="4" t="s">
        <v>8</v>
      </c>
      <c r="C8" s="3">
        <v>3031.38</v>
      </c>
      <c r="D8" s="5">
        <v>445.22</v>
      </c>
      <c r="F8" s="11">
        <v>1352217.16360</v>
      </c>
      <c r="G8" s="11"/>
      <c r="H8" s="11" t="e">
        <f>Table1_559[[#This Row],[SUM1]]*Table1_559[[#This Row],[SUM2]]+C$8-D$8</f>
      </c>
      <c r="I8" s="11"/>
    </row>
    <row r="9" customHeight="1" ht="15.75">
      <c r="A9">
        <v>6</v>
      </c>
      <c r="B9" s="4" t="s">
        <v>12</v>
      </c>
      <c r="C9" s="3">
        <v>2490.30</v>
      </c>
      <c r="D9" s="5">
        <v>6388.81</v>
      </c>
      <c r="F9" s="11">
        <v>15906155.03300</v>
      </c>
      <c r="G9" s="11"/>
      <c r="H9" s="11" t="e">
        <f>Table1_559[[#This Row],[SUM1]]*Table1_559[[#This Row],[SUM2]]+C$9-D$9</f>
      </c>
      <c r="I9" s="11"/>
    </row>
    <row r="10" customHeight="1" ht="15.75">
      <c r="A10">
        <v>7</v>
      </c>
      <c r="B10" s="4" t="s">
        <v>7</v>
      </c>
      <c r="C10" s="3">
        <v>2276.75</v>
      </c>
      <c r="D10" s="5">
        <v>7717.20</v>
      </c>
      <c r="F10" s="11">
        <v>17564694.65000</v>
      </c>
      <c r="G10" s="11"/>
      <c r="H10" s="11" t="e">
        <f>Table1_559[[#This Row],[SUM1]]*Table1_559[[#This Row],[SUM2]]+C$10-D$10</f>
      </c>
      <c r="I10" s="11"/>
    </row>
    <row r="11" customHeight="1" ht="15.75">
      <c r="A11">
        <v>8</v>
      </c>
      <c r="B11" s="4" t="s">
        <v>11</v>
      </c>
      <c r="C11" s="3">
        <v>2159.71</v>
      </c>
      <c r="D11" s="5">
        <v>2260.94</v>
      </c>
      <c r="F11" s="11">
        <v>4882873.49740</v>
      </c>
      <c r="G11" s="11"/>
      <c r="H11" s="11" t="e">
        <f>Table1_559[[#This Row],[SUM1]]*Table1_559[[#This Row],[SUM2]]+C$11-D$11</f>
      </c>
      <c r="I11" s="11"/>
    </row>
    <row r="12" customHeight="1" ht="15.75">
      <c r="A12">
        <v>9</v>
      </c>
      <c r="B12" s="4" t="s">
        <v>1</v>
      </c>
      <c r="C12" s="3">
        <v>5451.87</v>
      </c>
      <c r="D12" s="5">
        <v>4061.85</v>
      </c>
      <c r="F12" s="11">
        <v>22146068.17950</v>
      </c>
      <c r="G12" s="11"/>
      <c r="H12" s="11" t="e">
        <f>Table1_559[[#This Row],[SUM1]]*Table1_559[[#This Row],[SUM2]]+C$12-D$12</f>
      </c>
      <c r="I12" s="11"/>
    </row>
    <row r="13" customHeight="1" ht="15.75">
      <c r="A13">
        <v>10</v>
      </c>
      <c r="B13" s="4" t="s">
        <v>3</v>
      </c>
      <c r="C13" s="3">
        <v>1196.35</v>
      </c>
      <c r="D13" s="5">
        <v>522.46</v>
      </c>
      <c r="F13" s="11">
        <v>625718.91100</v>
      </c>
      <c r="G13" s="11"/>
      <c r="H13" s="11" t="e">
        <f>Table1_559[[#This Row],[SUM1]]*Table1_559[[#This Row],[SUM2]]+C$13-D$13</f>
      </c>
      <c r="I13" s="11"/>
    </row>
    <row r="14" customHeight="1" ht="15.75">
      <c r="A14">
        <v>11</v>
      </c>
      <c r="B14" s="4" t="s">
        <v>4</v>
      </c>
      <c r="C14" s="3">
        <v>7686.95</v>
      </c>
      <c r="D14" s="5">
        <v>2727.98</v>
      </c>
      <c r="F14" s="11">
        <v>20974804.83100</v>
      </c>
      <c r="G14" s="11"/>
      <c r="H14" s="11" t="e">
        <f>Table1_559[[#This Row],[SUM1]]*Table1_559[[#This Row],[SUM2]]+C$14-D$14</f>
      </c>
      <c r="I14" s="11"/>
    </row>
    <row r="15" customHeight="1" ht="15.75">
      <c r="A15">
        <v>12</v>
      </c>
      <c r="B15" s="4" t="s">
        <v>14</v>
      </c>
      <c r="C15" s="3">
        <v>689.66</v>
      </c>
      <c r="D15" s="5">
        <v>518.60</v>
      </c>
      <c r="F15" s="11">
        <v>357828.73600</v>
      </c>
      <c r="G15" s="11"/>
      <c r="H15" s="11" t="e">
        <f>Table1_559[[#This Row],[SUM1]]*Table1_559[[#This Row],[SUM2]]+C$15-D$15</f>
      </c>
      <c r="I15" s="11"/>
    </row>
    <row r="16" customHeight="1" ht="15.75">
      <c r="A16">
        <v>13</v>
      </c>
      <c r="B16" s="4" t="s">
        <v>2</v>
      </c>
      <c r="C16" s="3">
        <v>4573.55</v>
      </c>
      <c r="D16" s="5">
        <v>5436.00</v>
      </c>
      <c r="F16" s="11">
        <v>24860955.35000</v>
      </c>
      <c r="G16" s="11"/>
      <c r="H16" s="11" t="e">
        <f>Table1_559[[#This Row],[SUM1]]*Table1_559[[#This Row],[SUM2]]+C$16-D$16</f>
      </c>
      <c r="I16" s="11"/>
    </row>
    <row r="17" customHeight="1" ht="15.75">
      <c r="A17">
        <v>14</v>
      </c>
      <c r="B17" s="4" t="s">
        <v>5</v>
      </c>
      <c r="C17" s="3">
        <v>978.18</v>
      </c>
      <c r="D17" s="5">
        <v>295.55</v>
      </c>
      <c r="F17" s="11">
        <v>289783.72900</v>
      </c>
      <c r="G17" s="11"/>
      <c r="H17" s="11" t="e">
        <f>Table1_559[[#This Row],[SUM1]]*Table1_559[[#This Row],[SUM2]]+C$17-D$17</f>
      </c>
      <c r="I17" s="11"/>
    </row>
    <row r="18" customHeight="1" ht="15.75">
      <c r="A18">
        <v>15</v>
      </c>
      <c r="B18" s="4" t="s">
        <v>6</v>
      </c>
      <c r="C18" s="3">
        <v>71.12</v>
      </c>
      <c r="D18" s="5">
        <v>8878.56</v>
      </c>
      <c r="F18" s="11">
        <v>622635.74720</v>
      </c>
      <c r="G18" s="11"/>
      <c r="H18" s="11" t="e">
        <f>Table1_559[[#This Row],[SUM1]]*Table1_559[[#This Row],[SUM2]]+C$18-D$18</f>
      </c>
      <c r="I18" s="11"/>
    </row>
    <row r="19" customHeight="1" ht="15">
      <c r="B19" s="8" t="s">
        <v>26</v>
      </c>
      <c r="C19" s="9">
        <f>SUBTOTAL(109,Table1_559[SUM1])</f>
      </c>
      <c r="D19" s="10">
        <f>SUBTOTAL(109,Table1_559[SUM2])</f>
      </c>
    </row>
    <row r="20" customHeight="1" ht="15">
      <c r="B20" s="1"/>
      <c r="C20" s="2"/>
      <c r="D20" s="2"/>
    </row>
  </sheetData>
  <mergeCells count="32">
    <mergeCell ref="F1:G1"/>
    <mergeCell ref="H1:I1"/>
    <mergeCell ref="F4:G4"/>
    <mergeCell ref="H4:I4"/>
    <mergeCell ref="F5:G5"/>
    <mergeCell ref="H5:I5"/>
    <mergeCell ref="F6:G6"/>
    <mergeCell ref="H6:I6"/>
    <mergeCell ref="F7:G7"/>
    <mergeCell ref="H7:I7"/>
    <mergeCell ref="F8:G8"/>
    <mergeCell ref="H8:I8"/>
    <mergeCell ref="F9:G9"/>
    <mergeCell ref="H9:I9"/>
    <mergeCell ref="F10:G10"/>
    <mergeCell ref="H10:I10"/>
    <mergeCell ref="F11:G11"/>
    <mergeCell ref="H11:I11"/>
    <mergeCell ref="F12:G12"/>
    <mergeCell ref="H12:I12"/>
    <mergeCell ref="F13:G13"/>
    <mergeCell ref="H13:I13"/>
    <mergeCell ref="F14:G14"/>
    <mergeCell ref="H14:I14"/>
    <mergeCell ref="F15:G15"/>
    <mergeCell ref="H15:I15"/>
    <mergeCell ref="F16:G16"/>
    <mergeCell ref="H16:I16"/>
    <mergeCell ref="F17:G17"/>
    <mergeCell ref="H17:I17"/>
    <mergeCell ref="F18:G18"/>
    <mergeCell ref="H18:I18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A4" sqref="A4"/>
    </sheetView>
  </sheetViews>
  <sheetFormatPr defaultRowHeight="15" customHeight="1" x14ac:dyDescent="0.25"/>
  <cols>
    <col customWidth="1" max="2" min="2" width="49.28515625"/>
    <col customWidth="1" max="3" min="3" width="32.5703125"/>
    <col customWidth="1" max="4" min="4" width="32.5703125"/>
  </cols>
  <sheetData>
    <row r="1" customHeight="1" ht="15">
      <c r="B1" t="s">
        <v>24</v>
      </c>
      <c r="F1" s="11" t="s">
        <v>20</v>
      </c>
      <c r="G1" s="11"/>
      <c r="H1" s="11" t="s">
        <v>21</v>
      </c>
      <c r="I1" s="11"/>
    </row>
    <row r="3" customHeight="1" ht="15.75">
      <c r="B3" s="6" t="s">
        <v>17</v>
      </c>
      <c r="C3" s="6" t="s">
        <v>18</v>
      </c>
      <c r="D3" s="7" t="s">
        <v>19</v>
      </c>
    </row>
    <row r="4" customHeight="1" ht="15.75">
      <c r="A4">
        <v>1</v>
      </c>
      <c r="B4" s="4" t="s">
        <v>6</v>
      </c>
      <c r="C4" s="3">
        <v>71.12</v>
      </c>
      <c r="D4" s="5">
        <v>8878.56</v>
      </c>
      <c r="F4" s="11">
        <v>622635.74720</v>
      </c>
      <c r="G4" s="11"/>
      <c r="H4" s="11" t="e">
        <f>Table1_560[[#This Row],[SUM1]]*Table1_560[[#This Row],[SUM2]]+C$4-D$4</f>
      </c>
      <c r="I4" s="11"/>
    </row>
    <row r="5" customHeight="1" ht="15.75">
      <c r="A5">
        <v>2</v>
      </c>
      <c r="B5" s="4" t="s">
        <v>14</v>
      </c>
      <c r="C5" s="3">
        <v>689.66</v>
      </c>
      <c r="D5" s="5">
        <v>518.60</v>
      </c>
      <c r="F5" s="11">
        <v>357828.73600</v>
      </c>
      <c r="G5" s="11"/>
      <c r="H5" s="11" t="e">
        <f>Table1_560[[#This Row],[SUM1]]*Table1_560[[#This Row],[SUM2]]+C$5-D$5</f>
      </c>
      <c r="I5" s="11"/>
    </row>
    <row r="6" customHeight="1" ht="15.75">
      <c r="A6">
        <v>3</v>
      </c>
      <c r="B6" s="4" t="s">
        <v>5</v>
      </c>
      <c r="C6" s="3">
        <v>978.18</v>
      </c>
      <c r="D6" s="5">
        <v>295.55</v>
      </c>
      <c r="F6" s="11">
        <v>289783.72900</v>
      </c>
      <c r="G6" s="11"/>
      <c r="H6" s="11" t="e">
        <f>Table1_560[[#This Row],[SUM1]]*Table1_560[[#This Row],[SUM2]]+C$6-D$6</f>
      </c>
      <c r="I6" s="11"/>
    </row>
    <row r="7" customHeight="1" ht="15.75">
      <c r="A7">
        <v>4</v>
      </c>
      <c r="B7" s="4" t="s">
        <v>3</v>
      </c>
      <c r="C7" s="3">
        <v>1196.35</v>
      </c>
      <c r="D7" s="5">
        <v>522.46</v>
      </c>
      <c r="F7" s="11">
        <v>625718.91100</v>
      </c>
      <c r="G7" s="11"/>
      <c r="H7" s="11" t="e">
        <f>Table1_560[[#This Row],[SUM1]]*Table1_560[[#This Row],[SUM2]]+C$7-D$7</f>
      </c>
      <c r="I7" s="11"/>
    </row>
    <row r="8" customHeight="1" ht="15.75">
      <c r="A8">
        <v>5</v>
      </c>
      <c r="B8" s="4" t="s">
        <v>11</v>
      </c>
      <c r="C8" s="3">
        <v>2159.71</v>
      </c>
      <c r="D8" s="5">
        <v>2260.94</v>
      </c>
      <c r="F8" s="11">
        <v>4882873.49740</v>
      </c>
      <c r="G8" s="11"/>
      <c r="H8" s="11" t="e">
        <f>Table1_560[[#This Row],[SUM1]]*Table1_560[[#This Row],[SUM2]]+C$8-D$8</f>
      </c>
      <c r="I8" s="11"/>
    </row>
    <row r="9" customHeight="1" ht="15.75">
      <c r="A9">
        <v>6</v>
      </c>
      <c r="B9" s="4" t="s">
        <v>7</v>
      </c>
      <c r="C9" s="3">
        <v>2276.75</v>
      </c>
      <c r="D9" s="5">
        <v>7717.20</v>
      </c>
      <c r="F9" s="11">
        <v>17564694.65000</v>
      </c>
      <c r="G9" s="11"/>
      <c r="H9" s="11" t="e">
        <f>Table1_560[[#This Row],[SUM1]]*Table1_560[[#This Row],[SUM2]]+C$9-D$9</f>
      </c>
      <c r="I9" s="11"/>
    </row>
    <row r="10" customHeight="1" ht="15.75">
      <c r="A10">
        <v>7</v>
      </c>
      <c r="B10" s="4" t="s">
        <v>12</v>
      </c>
      <c r="C10" s="3">
        <v>2490.30</v>
      </c>
      <c r="D10" s="5">
        <v>6388.81</v>
      </c>
      <c r="F10" s="11">
        <v>15906155.03300</v>
      </c>
      <c r="G10" s="11"/>
      <c r="H10" s="11" t="e">
        <f>Table1_560[[#This Row],[SUM1]]*Table1_560[[#This Row],[SUM2]]+C$10-D$10</f>
      </c>
      <c r="I10" s="11"/>
    </row>
    <row r="11" customHeight="1" ht="15.75">
      <c r="A11">
        <v>8</v>
      </c>
      <c r="B11" s="4" t="s">
        <v>8</v>
      </c>
      <c r="C11" s="3">
        <v>3031.38</v>
      </c>
      <c r="D11" s="5">
        <v>445.22</v>
      </c>
      <c r="F11" s="11">
        <v>1352217.16360</v>
      </c>
      <c r="G11" s="11"/>
      <c r="H11" s="11" t="e">
        <f>Table1_560[[#This Row],[SUM1]]*Table1_560[[#This Row],[SUM2]]+C$11-D$11</f>
      </c>
      <c r="I11" s="11"/>
    </row>
    <row r="12" customHeight="1" ht="15.75">
      <c r="A12">
        <v>9</v>
      </c>
      <c r="B12" s="4" t="s">
        <v>2</v>
      </c>
      <c r="C12" s="3">
        <v>4573.55</v>
      </c>
      <c r="D12" s="5">
        <v>5436.00</v>
      </c>
      <c r="F12" s="11">
        <v>24860955.35000</v>
      </c>
      <c r="G12" s="11"/>
      <c r="H12" s="11" t="e">
        <f>Table1_560[[#This Row],[SUM1]]*Table1_560[[#This Row],[SUM2]]+C$12-D$12</f>
      </c>
      <c r="I12" s="11"/>
    </row>
    <row r="13" customHeight="1" ht="15.75">
      <c r="A13">
        <v>10</v>
      </c>
      <c r="B13" s="4" t="s">
        <v>10</v>
      </c>
      <c r="C13" s="3">
        <v>4604.00</v>
      </c>
      <c r="D13" s="5">
        <v>5525.85</v>
      </c>
      <c r="F13" s="11">
        <v>25440091.55000</v>
      </c>
      <c r="G13" s="11"/>
      <c r="H13" s="11" t="e">
        <f>Table1_560[[#This Row],[SUM1]]*Table1_560[[#This Row],[SUM2]]+C$13-D$13</f>
      </c>
      <c r="I13" s="11"/>
    </row>
    <row r="14" customHeight="1" ht="15.75">
      <c r="A14">
        <v>11</v>
      </c>
      <c r="B14" s="4" t="s">
        <v>1</v>
      </c>
      <c r="C14" s="3">
        <v>5451.87</v>
      </c>
      <c r="D14" s="5">
        <v>4061.85</v>
      </c>
      <c r="F14" s="11">
        <v>22146068.17950</v>
      </c>
      <c r="G14" s="11"/>
      <c r="H14" s="11" t="e">
        <f>Table1_560[[#This Row],[SUM1]]*Table1_560[[#This Row],[SUM2]]+C$14-D$14</f>
      </c>
      <c r="I14" s="11"/>
    </row>
    <row r="15" customHeight="1" ht="15.75">
      <c r="A15">
        <v>12</v>
      </c>
      <c r="B15" s="4" t="s">
        <v>13</v>
      </c>
      <c r="C15" s="3">
        <v>5476.81</v>
      </c>
      <c r="D15" s="5">
        <v>406.18</v>
      </c>
      <c r="F15" s="11">
        <v>2229641.31580</v>
      </c>
      <c r="G15" s="11"/>
      <c r="H15" s="11" t="e">
        <f>Table1_560[[#This Row],[SUM1]]*Table1_560[[#This Row],[SUM2]]+C$15-D$15</f>
      </c>
      <c r="I15" s="11"/>
    </row>
    <row r="16" customHeight="1" ht="15.75">
      <c r="A16">
        <v>13</v>
      </c>
      <c r="B16" s="4" t="s">
        <v>0</v>
      </c>
      <c r="C16" s="3">
        <v>5971.44</v>
      </c>
      <c r="D16" s="5">
        <v>5021.46</v>
      </c>
      <c r="F16" s="11">
        <v>29986297.08240</v>
      </c>
      <c r="G16" s="11"/>
      <c r="H16" s="11" t="e">
        <f>Table1_560[[#This Row],[SUM1]]*Table1_560[[#This Row],[SUM2]]+C$16-D$16</f>
      </c>
      <c r="I16" s="11"/>
    </row>
    <row r="17" customHeight="1" ht="15.75">
      <c r="A17">
        <v>14</v>
      </c>
      <c r="B17" s="4" t="s">
        <v>4</v>
      </c>
      <c r="C17" s="3">
        <v>7686.95</v>
      </c>
      <c r="D17" s="5">
        <v>2727.98</v>
      </c>
      <c r="F17" s="11">
        <v>20974804.83100</v>
      </c>
      <c r="G17" s="11"/>
      <c r="H17" s="11" t="e">
        <f>Table1_560[[#This Row],[SUM1]]*Table1_560[[#This Row],[SUM2]]+C$17-D$17</f>
      </c>
      <c r="I17" s="11"/>
    </row>
    <row r="18" customHeight="1" ht="15.75">
      <c r="A18">
        <v>15</v>
      </c>
      <c r="B18" s="4" t="s">
        <v>9</v>
      </c>
      <c r="C18" s="3">
        <v>9476.79</v>
      </c>
      <c r="D18" s="5">
        <v>3683.27</v>
      </c>
      <c r="F18" s="11">
        <v>34911369.82330</v>
      </c>
      <c r="G18" s="11"/>
      <c r="H18" s="11" t="e">
        <f>Table1_560[[#This Row],[SUM1]]*Table1_560[[#This Row],[SUM2]]+C$18-D$18</f>
      </c>
      <c r="I18" s="11"/>
    </row>
    <row r="19" customHeight="1" ht="15">
      <c r="B19" s="8" t="s">
        <v>26</v>
      </c>
      <c r="C19" s="9">
        <f>SUBTOTAL(109,Table1_560[SUM1])</f>
      </c>
      <c r="D19" s="10">
        <f>SUBTOTAL(109,Table1_560[SUM2])</f>
      </c>
    </row>
    <row r="20" customHeight="1" ht="15">
      <c r="B20" s="1"/>
      <c r="C20" s="2"/>
      <c r="D20" s="2"/>
    </row>
  </sheetData>
  <mergeCells count="32">
    <mergeCell ref="F1:G1"/>
    <mergeCell ref="H1:I1"/>
    <mergeCell ref="F4:G4"/>
    <mergeCell ref="H4:I4"/>
    <mergeCell ref="F5:G5"/>
    <mergeCell ref="H5:I5"/>
    <mergeCell ref="F6:G6"/>
    <mergeCell ref="H6:I6"/>
    <mergeCell ref="F7:G7"/>
    <mergeCell ref="H7:I7"/>
    <mergeCell ref="F8:G8"/>
    <mergeCell ref="H8:I8"/>
    <mergeCell ref="F9:G9"/>
    <mergeCell ref="H9:I9"/>
    <mergeCell ref="F10:G10"/>
    <mergeCell ref="H10:I10"/>
    <mergeCell ref="F11:G11"/>
    <mergeCell ref="H11:I11"/>
    <mergeCell ref="F12:G12"/>
    <mergeCell ref="H12:I12"/>
    <mergeCell ref="F13:G13"/>
    <mergeCell ref="H13:I13"/>
    <mergeCell ref="F14:G14"/>
    <mergeCell ref="H14:I14"/>
    <mergeCell ref="F15:G15"/>
    <mergeCell ref="H15:I15"/>
    <mergeCell ref="F16:G16"/>
    <mergeCell ref="H16:I16"/>
    <mergeCell ref="F17:G17"/>
    <mergeCell ref="H17:I17"/>
    <mergeCell ref="F18:G18"/>
    <mergeCell ref="H18:I18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5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1" sqref="B1"/>
    </sheetView>
  </sheetViews>
  <sheetFormatPr defaultRowHeight="15" customHeight="1" x14ac:dyDescent="0.25"/>
  <cols>
    <col customWidth="1" max="1" min="1" width="34.28515625"/>
  </cols>
  <sheetData>
    <row r="1" customHeight="1" ht="15">
      <c r="A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First sheet</vt:lpstr>
      <vt:lpstr>{R-TITLE}</vt:lpstr>
      <vt:lpstr>Last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Molda_B</dc:creator>
  <cp:lastModifiedBy>modekz</cp:lastModifiedBy>
  <dcterms:created xsi:type="dcterms:W3CDTF">2018-02-01T06:26:40Z</dcterms:created>
  <dcterms:modified xsi:type="dcterms:W3CDTF">2021-01-29T02:29:49Z</dcterms:modified>
</cp:coreProperties>
</file>